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quarz\Desktop\Rechnung\"/>
    </mc:Choice>
  </mc:AlternateContent>
  <xr:revisionPtr revIDLastSave="0" documentId="8_{3D72726C-67D5-4C85-93A3-083D6AF65FAF}" xr6:coauthVersionLast="47" xr6:coauthVersionMax="47" xr10:uidLastSave="{00000000-0000-0000-0000-000000000000}"/>
  <bookViews>
    <workbookView xWindow="-120" yWindow="-120" windowWidth="29040" windowHeight="15720" activeTab="3" xr2:uid="{8178166E-8A1D-483D-B3AB-737D2E4C6096}"/>
  </bookViews>
  <sheets>
    <sheet name="Rechnung" sheetId="1" r:id="rId1"/>
    <sheet name="Leistungsnachweis" sheetId="5" r:id="rId2"/>
    <sheet name="Eingabe" sheetId="6" r:id="rId3"/>
    <sheet name="Informationen" sheetId="2" r:id="rId4"/>
    <sheet name="Leistungsklassen" sheetId="4" r:id="rId5"/>
  </sheets>
  <externalReferences>
    <externalReference r:id="rId6"/>
  </externalReferences>
  <definedNames>
    <definedName name="_Hlk139032887" localSheetId="4">Leistungsklassen!$B$7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I34" i="1" s="1"/>
  <c r="A2" i="5"/>
  <c r="C21" i="1"/>
  <c r="E14" i="6"/>
  <c r="I26" i="1"/>
  <c r="G24" i="1" s="1"/>
  <c r="J39" i="1"/>
  <c r="L39" i="1" s="1"/>
  <c r="J40" i="1"/>
  <c r="L40" i="1" s="1"/>
  <c r="J41" i="1"/>
  <c r="L41" i="1" s="1"/>
  <c r="J42" i="1"/>
  <c r="L42" i="1" s="1"/>
  <c r="J38" i="1"/>
  <c r="G39" i="1"/>
  <c r="G40" i="1"/>
  <c r="G41" i="1"/>
  <c r="G42" i="1"/>
  <c r="G43" i="1"/>
  <c r="G38" i="1"/>
  <c r="I75" i="4"/>
  <c r="I33" i="1" l="1"/>
  <c r="L6" i="5" s="1"/>
  <c r="I30" i="1"/>
  <c r="I31" i="1"/>
  <c r="C6" i="5" s="1"/>
  <c r="I32" i="1"/>
  <c r="F6" i="5" s="1"/>
  <c r="I29" i="1"/>
  <c r="O6" i="5"/>
  <c r="I24" i="1"/>
  <c r="H2" i="5" s="1"/>
  <c r="L46" i="1"/>
  <c r="L47" i="1"/>
  <c r="L48" i="1"/>
  <c r="L49" i="1"/>
  <c r="L45" i="1"/>
  <c r="I46" i="1"/>
  <c r="I47" i="1"/>
  <c r="I48" i="1"/>
  <c r="I49" i="1"/>
  <c r="I45" i="1"/>
  <c r="H46" i="1"/>
  <c r="H47" i="1"/>
  <c r="H48" i="1"/>
  <c r="H49" i="1"/>
  <c r="E46" i="1"/>
  <c r="E47" i="1"/>
  <c r="E48" i="1"/>
  <c r="E49" i="1"/>
  <c r="C46" i="1"/>
  <c r="C47" i="1"/>
  <c r="C48" i="1"/>
  <c r="C49" i="1"/>
  <c r="H45" i="1"/>
  <c r="E45" i="1"/>
  <c r="C45" i="1"/>
  <c r="L38" i="1"/>
  <c r="D5" i="5" l="1"/>
  <c r="C19" i="1"/>
  <c r="C15" i="1"/>
  <c r="C16" i="1"/>
  <c r="C17" i="1"/>
  <c r="L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tc={BB709D58-D43D-4936-A625-A7B4A20706E1}</author>
    <author>tc={F0A80890-1324-478F-889F-2A35F9F5A5AE}</author>
  </authors>
  <commentList>
    <comment ref="G24" authorId="0" shapeId="0" xr:uid="{BB709D58-D43D-4936-A625-A7B4A20706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Basiert auf dem Rechnungsdatum</t>
      </text>
    </comment>
    <comment ref="I26" authorId="1" shapeId="0" xr:uid="{F0A80890-1324-478F-889F-2A35F9F5A5A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Rechnungsdatum standardmäßig auf heutiges Datum getzt</t>
      </text>
    </comment>
  </commentList>
</comments>
</file>

<file path=xl/sharedStrings.xml><?xml version="1.0" encoding="utf-8"?>
<sst xmlns="http://schemas.openxmlformats.org/spreadsheetml/2006/main" count="515" uniqueCount="307">
  <si>
    <t>Unterstützung im Alltag</t>
  </si>
  <si>
    <t>Leistungszeitraum:</t>
  </si>
  <si>
    <t>Rechnungsnummer:</t>
  </si>
  <si>
    <t>Rechnungsdatum:</t>
  </si>
  <si>
    <t>Leistungsemfänger</t>
  </si>
  <si>
    <t>Name, Vorname:</t>
  </si>
  <si>
    <t>Adresse:</t>
  </si>
  <si>
    <t>KK:</t>
  </si>
  <si>
    <t>Geburtstag:</t>
  </si>
  <si>
    <t>Vers. Nr.:</t>
  </si>
  <si>
    <t>Pflegegrad:</t>
  </si>
  <si>
    <t>Anz. Einzätze</t>
  </si>
  <si>
    <t>Leistung</t>
  </si>
  <si>
    <t>Einzel [€]</t>
  </si>
  <si>
    <t>Gesamt [€]</t>
  </si>
  <si>
    <t>Im ausgewiesenen Rechnungsbetrag ist gemäß §4/16UstG keine Umsatzsteuer enthalten.</t>
  </si>
  <si>
    <t>Rechnungssumme:</t>
  </si>
  <si>
    <t>bis</t>
  </si>
  <si>
    <t>Kundeninformationen</t>
  </si>
  <si>
    <t>Name</t>
  </si>
  <si>
    <t>Adresse</t>
  </si>
  <si>
    <t>Geburtsdatum</t>
  </si>
  <si>
    <t>Krankenkasse</t>
  </si>
  <si>
    <t>Versicherungsnummer</t>
  </si>
  <si>
    <t>Pflegegrad</t>
  </si>
  <si>
    <t>Krankenkasseninformation</t>
  </si>
  <si>
    <t>Kunde:</t>
  </si>
  <si>
    <t>AK 3</t>
  </si>
  <si>
    <t>AK 4</t>
  </si>
  <si>
    <t>AK 5</t>
  </si>
  <si>
    <t>AK 6</t>
  </si>
  <si>
    <t>Leistungsklassen</t>
  </si>
  <si>
    <t>AK 001</t>
  </si>
  <si>
    <t>AK 7</t>
  </si>
  <si>
    <t>AK 8</t>
  </si>
  <si>
    <t>PK 1</t>
  </si>
  <si>
    <t>PK 2</t>
  </si>
  <si>
    <t>PK 3</t>
  </si>
  <si>
    <t>PK 4</t>
  </si>
  <si>
    <t>PK 5</t>
  </si>
  <si>
    <t>PK 6</t>
  </si>
  <si>
    <t>VP 1</t>
  </si>
  <si>
    <t>VP 2</t>
  </si>
  <si>
    <t>VP 3</t>
  </si>
  <si>
    <t>VP 4</t>
  </si>
  <si>
    <t>VP 5</t>
  </si>
  <si>
    <t>VP 6</t>
  </si>
  <si>
    <t>Einsatzpauschale</t>
  </si>
  <si>
    <t>pro 4 Stunden inkl. Einsatzpauschale</t>
  </si>
  <si>
    <t>Gutschrift</t>
  </si>
  <si>
    <t>Eingabebereich</t>
  </si>
  <si>
    <t>Gutschrift:</t>
  </si>
  <si>
    <t>Aktueller ausgewählter Kunde:</t>
  </si>
  <si>
    <t>Spalte1</t>
  </si>
  <si>
    <t>Spalte2</t>
  </si>
  <si>
    <t>Spalte3</t>
  </si>
  <si>
    <t>Spalte4</t>
  </si>
  <si>
    <t>AK 1</t>
  </si>
  <si>
    <t>pro 1 Std. inkl. EP</t>
  </si>
  <si>
    <t>AK 1,5</t>
  </si>
  <si>
    <t>pro 1,5 Std. inkl. EP</t>
  </si>
  <si>
    <t>AK 2</t>
  </si>
  <si>
    <t>pro 2 Std, inkl. EP</t>
  </si>
  <si>
    <t>AK 2,5</t>
  </si>
  <si>
    <t>pro 2,5 Std. inkl. EP</t>
  </si>
  <si>
    <t>pro 3 Std. inkl. EP</t>
  </si>
  <si>
    <t>AK 3,5</t>
  </si>
  <si>
    <t>pro 3,5 Std. inkl. EP</t>
  </si>
  <si>
    <t>Leistung AK 001</t>
  </si>
  <si>
    <t>Gutschrift über Differenzbetrag Krankenkasse</t>
  </si>
  <si>
    <t>Alltagshilfe</t>
  </si>
  <si>
    <t>Leistung AK 002</t>
  </si>
  <si>
    <t>Leistung AK 3</t>
  </si>
  <si>
    <t>Abrechnung über die Krankenkasse</t>
  </si>
  <si>
    <t>Leistung AK 4</t>
  </si>
  <si>
    <t>Leistung AK 5</t>
  </si>
  <si>
    <t>Leistung AK 6</t>
  </si>
  <si>
    <t>Leistung AK 7</t>
  </si>
  <si>
    <t>Leistung AK 8</t>
  </si>
  <si>
    <t>Spalte5</t>
  </si>
  <si>
    <t>Spalte6</t>
  </si>
  <si>
    <t>pro 4 Std. inkl. EP</t>
  </si>
  <si>
    <t>pro 4,5 Std. inkl. EP</t>
  </si>
  <si>
    <t>AK 4,5</t>
  </si>
  <si>
    <t>pro 5 Std. inkl. EP</t>
  </si>
  <si>
    <t>AK 5,5</t>
  </si>
  <si>
    <t>pro 5,5 Std. inkl. EP</t>
  </si>
  <si>
    <t>AK 6,5</t>
  </si>
  <si>
    <t>AK 7,5</t>
  </si>
  <si>
    <t>AK 8,5</t>
  </si>
  <si>
    <t>pro 6 Std. inkl. EP</t>
  </si>
  <si>
    <t>pro 7 Std. inkl. EP</t>
  </si>
  <si>
    <t>pro 8 Std. inkl. EP</t>
  </si>
  <si>
    <t>pro 6,5 Std. inkl. EP</t>
  </si>
  <si>
    <t>pro 7,5 Std. inkl. EP</t>
  </si>
  <si>
    <t>pro 8,5 Std. inkl. EP</t>
  </si>
  <si>
    <t>VP 1,5</t>
  </si>
  <si>
    <t>VP 2,5</t>
  </si>
  <si>
    <t>VP 3,5</t>
  </si>
  <si>
    <t>VP 4,5</t>
  </si>
  <si>
    <t>VP 5,5</t>
  </si>
  <si>
    <t>VP 6,5</t>
  </si>
  <si>
    <t>VP 7</t>
  </si>
  <si>
    <t>VP 7,5</t>
  </si>
  <si>
    <t>VP 8</t>
  </si>
  <si>
    <t>VP 8,5</t>
  </si>
  <si>
    <t>PK EP</t>
  </si>
  <si>
    <t>PK 1,5</t>
  </si>
  <si>
    <t>PK 2,5</t>
  </si>
  <si>
    <t>PK 3,5</t>
  </si>
  <si>
    <t>PK 4,5</t>
  </si>
  <si>
    <t>PK 5,5</t>
  </si>
  <si>
    <t>PK 6,5</t>
  </si>
  <si>
    <t>PK 7</t>
  </si>
  <si>
    <t>PK 7,5</t>
  </si>
  <si>
    <t>PK 8</t>
  </si>
  <si>
    <t>PK 8,5</t>
  </si>
  <si>
    <t>Leistung AK 1</t>
  </si>
  <si>
    <t>Leistung AK 1,5</t>
  </si>
  <si>
    <t>Leistung AK 2</t>
  </si>
  <si>
    <t>Leistung AK 2,5</t>
  </si>
  <si>
    <t>Leistung AK 3,5</t>
  </si>
  <si>
    <t>Leistung AK 4,5</t>
  </si>
  <si>
    <t>Leistung AK 5,5</t>
  </si>
  <si>
    <t>Leistung AK 6,5</t>
  </si>
  <si>
    <t>Leistung AK 7,5</t>
  </si>
  <si>
    <t>Leistung AK 8,5</t>
  </si>
  <si>
    <t>pro 1 Stunde inkl. Einsatzpauschale</t>
  </si>
  <si>
    <t>pro 1,5 Stunden inkl. Einsatzpauschale</t>
  </si>
  <si>
    <t>pro 2 Stunden inkl. Einsatzpauschale</t>
  </si>
  <si>
    <t>pro 2,5 Stunden inkl. Einsatzpauschale</t>
  </si>
  <si>
    <t>pro 3 Stunden inkl. Einsatzpauschale</t>
  </si>
  <si>
    <t>pro 3,5 Stunden inkl. Einsatzpauschale</t>
  </si>
  <si>
    <t>pro 4,5 Stunden inkl. Einsatzpauschale</t>
  </si>
  <si>
    <t>pro 5 Stunden inkl. Einsatzpauschale</t>
  </si>
  <si>
    <t>pro 5,5 Stunden inkl. Einsatzpauschale</t>
  </si>
  <si>
    <t>pro 6 Stunden inkl. Einsatzpauschale</t>
  </si>
  <si>
    <t>pro 6,5 Stunden inkl. Einsatzpauschale</t>
  </si>
  <si>
    <t>pro 7 Stunden inkl. Einsatzpauschale</t>
  </si>
  <si>
    <t>pro 7,5 Stunden inkl. Einsatzpauschale</t>
  </si>
  <si>
    <t>pro 8 Stunden inkl. Einsatzpauschale</t>
  </si>
  <si>
    <t>pro 8,5 Stunden inkl. Einsatzpauschale</t>
  </si>
  <si>
    <t>Leistung VP 1</t>
  </si>
  <si>
    <t>Leistung VP 1,5</t>
  </si>
  <si>
    <t>Leistung VP 2</t>
  </si>
  <si>
    <t>Leistung VP 2,5</t>
  </si>
  <si>
    <t>Leistung VP 3</t>
  </si>
  <si>
    <t>Leistung VP 3,5</t>
  </si>
  <si>
    <t>Leistung VP 4</t>
  </si>
  <si>
    <t>Leistung VP 4,5</t>
  </si>
  <si>
    <t>Leistung VP 5</t>
  </si>
  <si>
    <t>Leistung VP 5,5</t>
  </si>
  <si>
    <t>Leistung VP 6</t>
  </si>
  <si>
    <t>Leistung VP 6,5</t>
  </si>
  <si>
    <t>Leistung VP 7</t>
  </si>
  <si>
    <t>Leistung VP 7,5</t>
  </si>
  <si>
    <t>Leistung VP 8</t>
  </si>
  <si>
    <t>Leistung VP 8,5</t>
  </si>
  <si>
    <t>Verhinderungspflege</t>
  </si>
  <si>
    <t>Leistung PK 1</t>
  </si>
  <si>
    <t>Leistung PK 1,5</t>
  </si>
  <si>
    <t>Leistung PK 2</t>
  </si>
  <si>
    <t>Leistung PK 2,5</t>
  </si>
  <si>
    <t>Leistung PK 3</t>
  </si>
  <si>
    <t>Leistung PK 3,5</t>
  </si>
  <si>
    <t>Leistung PK 4</t>
  </si>
  <si>
    <t>Leistung PK 4,5</t>
  </si>
  <si>
    <t>Leistung PK 5</t>
  </si>
  <si>
    <t>Leistung PK 5,5</t>
  </si>
  <si>
    <t>Leistung PK 6</t>
  </si>
  <si>
    <t>Leistung PK 6,5</t>
  </si>
  <si>
    <t>Leistung PK 7</t>
  </si>
  <si>
    <t>Leistung PK 7,5</t>
  </si>
  <si>
    <t>Leistung PK 8</t>
  </si>
  <si>
    <t>Leistung PK 8,5</t>
  </si>
  <si>
    <t>Leistung PK Einsatzpauschale</t>
  </si>
  <si>
    <t>Abrechnung über Kunde/Kundin</t>
  </si>
  <si>
    <t>Privatrechnung</t>
  </si>
  <si>
    <t>pro 1,5 Stunden excl. Einsatzpauschale</t>
  </si>
  <si>
    <t>pro 2 Stunden excl. Einsatzpauschale</t>
  </si>
  <si>
    <t>pro 2,5 Stunden excl. Einsatzpauschale</t>
  </si>
  <si>
    <t>pro 3 Stunden excl. Einsatzpauschale</t>
  </si>
  <si>
    <t>pro 3,5 Stunden excl. Einsatzpauschale</t>
  </si>
  <si>
    <t>pro 4 Stunden excl. Einsatzpauschale</t>
  </si>
  <si>
    <t>pro 4,5 Stunden excl. Einsatzpauschale</t>
  </si>
  <si>
    <t>pro 5 Stunden excl. Einsatzpauschale</t>
  </si>
  <si>
    <t>pro 5,5 Stunden excl. Einsatzpauschale</t>
  </si>
  <si>
    <t>pro 6 Stunden excl. Einsatzpauschale</t>
  </si>
  <si>
    <t>pro 6,5 Stunden excl. Einsatzpauschale</t>
  </si>
  <si>
    <t>pro 7 Stunden excl. Einsatzpauschale</t>
  </si>
  <si>
    <t>pro 7,5 Stunden excl. Einsatzpauschale</t>
  </si>
  <si>
    <t>pro 8 Stunden excl. Einsatzpauschale</t>
  </si>
  <si>
    <t>pro 8,5 Stunden excl. Einsatzpauschale</t>
  </si>
  <si>
    <t>pro 1 Stunden excl. Einsatzpauschale</t>
  </si>
  <si>
    <t>Krankenkasse:</t>
  </si>
  <si>
    <t>Versicherte Person:</t>
  </si>
  <si>
    <t>Geburtsdatum:</t>
  </si>
  <si>
    <t>Tag</t>
  </si>
  <si>
    <t>Datum</t>
  </si>
  <si>
    <t>Uhrzeit</t>
  </si>
  <si>
    <t>Dauer (h)</t>
  </si>
  <si>
    <t>Unterschrift UA</t>
  </si>
  <si>
    <t>Unterschrift Kunde</t>
  </si>
  <si>
    <t>Gesamtstunden:</t>
  </si>
  <si>
    <t>Kundin/Kunde</t>
  </si>
  <si>
    <t>Mit meiner Unterschrift erkläre ich die Richtigkeit aller Einträge.</t>
  </si>
  <si>
    <r>
      <t>Hiermit erteile ich eine Abtretungserklärung und mein Einverständnis, dass „Unterstützung im Alltag“ die Leistungen nach</t>
    </r>
    <r>
      <rPr>
        <u/>
        <sz val="9"/>
        <color theme="1"/>
        <rFont val="Arial"/>
        <family val="2"/>
      </rPr>
      <t xml:space="preserve"> §45b SGB XI</t>
    </r>
    <r>
      <rPr>
        <sz val="9"/>
        <color theme="1"/>
        <rFont val="Arial"/>
        <family val="2"/>
      </rPr>
      <t xml:space="preserve"> Entlastungsbeitrag, sowie die Leistungen mit Umwandlung der Pflegesachleistung </t>
    </r>
    <r>
      <rPr>
        <u/>
        <sz val="9"/>
        <color theme="1"/>
        <rFont val="Arial"/>
        <family val="2"/>
      </rPr>
      <t>nach § 45a SGB XI</t>
    </r>
    <r>
      <rPr>
        <sz val="9"/>
        <color theme="1"/>
        <rFont val="Arial"/>
        <family val="2"/>
      </rPr>
      <t xml:space="preserve"> direkt mit der Krankenkasse abrechnen darf. </t>
    </r>
  </si>
  <si>
    <t>AK 0,167</t>
  </si>
  <si>
    <t>pro 10 Minuten inkl. EP</t>
  </si>
  <si>
    <t>AK 1,167</t>
  </si>
  <si>
    <t>AK 1,667</t>
  </si>
  <si>
    <t>pro 1,10 Std. inkl. EP</t>
  </si>
  <si>
    <t>pro 1,40 Std. inkl. EP</t>
  </si>
  <si>
    <t>pro 1,30 Std. inkl. EP</t>
  </si>
  <si>
    <t>AK 2,167</t>
  </si>
  <si>
    <t>pro 2,10 Std. inkl. EP</t>
  </si>
  <si>
    <t>AK 2,667</t>
  </si>
  <si>
    <t>pro 2,40 Std. inkl. EP</t>
  </si>
  <si>
    <t>AK 3,167</t>
  </si>
  <si>
    <t>pro 3,10 Std. inkl. EP</t>
  </si>
  <si>
    <t>AK 3,667</t>
  </si>
  <si>
    <t>pro 3,40 Std. inkl. EP</t>
  </si>
  <si>
    <t>AK 4,167</t>
  </si>
  <si>
    <t>pro 4,10 Std. inkl. EP</t>
  </si>
  <si>
    <t>AK 4,667</t>
  </si>
  <si>
    <t>pro 4,40 Std. inkl. EP</t>
  </si>
  <si>
    <t>AK 5,167</t>
  </si>
  <si>
    <t>pro 5,10 Std. inkl. EP</t>
  </si>
  <si>
    <t>AK 5,667</t>
  </si>
  <si>
    <t>pro 5,40 Std. inkl. EP</t>
  </si>
  <si>
    <t>pro 1,00 Std. inkl. EP</t>
  </si>
  <si>
    <t>pro 2,00 Std. inkl. EP</t>
  </si>
  <si>
    <t>pro 2,30 Std. inkl. EP</t>
  </si>
  <si>
    <t>pro 3,00 Std. inkl. EP</t>
  </si>
  <si>
    <t>pro 3,30 Std. inkl. EP</t>
  </si>
  <si>
    <t>pro 4,00 Std. inkl. EP</t>
  </si>
  <si>
    <t>pro 4,30 Std. inkl. EP</t>
  </si>
  <si>
    <t>pro 5,00 Std. inkl. EP</t>
  </si>
  <si>
    <t>pro 5,30 Std. inkl. EP</t>
  </si>
  <si>
    <t>pro 6,00 Std. inkl. EP</t>
  </si>
  <si>
    <t>AK 6,167</t>
  </si>
  <si>
    <t>pro 6,10 Sdt. inkl. EP</t>
  </si>
  <si>
    <t>pro 6,30 Std. inkl. EP</t>
  </si>
  <si>
    <t>AK 6,67</t>
  </si>
  <si>
    <t>pro 6,40 Std. inkl. EP</t>
  </si>
  <si>
    <t>pro 7,00 Std. inkl. EP</t>
  </si>
  <si>
    <t>AK 7,167</t>
  </si>
  <si>
    <t>pro 7,10 Std. inkl. EP</t>
  </si>
  <si>
    <t>pro 7,30 Std. inkl. EP</t>
  </si>
  <si>
    <t>AK 7,667</t>
  </si>
  <si>
    <t>pro 7,40 Std. inkl. EP</t>
  </si>
  <si>
    <t>pro 8,00 Std. inkl. EP</t>
  </si>
  <si>
    <t>AK 8,167</t>
  </si>
  <si>
    <t>pro 8,10 Sdt. Inkl. EP</t>
  </si>
  <si>
    <t>AK 8,667</t>
  </si>
  <si>
    <t>pro 8,30 Std. inkl. EP</t>
  </si>
  <si>
    <t>pro 8,40 Std. inkl. EP</t>
  </si>
  <si>
    <t>Leistung AK 2,667</t>
  </si>
  <si>
    <t>pro 2,40 Std inkl. Einsatzpauschale</t>
  </si>
  <si>
    <t>Leistung 1,167</t>
  </si>
  <si>
    <t>pro 1,10 Std. inkl. Einsatzpauschale</t>
  </si>
  <si>
    <t>Leistung 1,667</t>
  </si>
  <si>
    <t>pro 1,40 Std. inkl. Einsatzpauschale</t>
  </si>
  <si>
    <t>pro 1,30 Std. inkl. Einsatzpauschale</t>
  </si>
  <si>
    <t>Leistung 2,167</t>
  </si>
  <si>
    <t>pro 2,00 Std. inkl. Einsatzpauschale</t>
  </si>
  <si>
    <t>pro 1,00 Std. inkl. Einsatzpauschale</t>
  </si>
  <si>
    <t>pro 2,10 Std. inkl. Einsatzpauschale</t>
  </si>
  <si>
    <t>pro 2,30 Std. inkl. Einsatzpauschale</t>
  </si>
  <si>
    <t>AK 2,75</t>
  </si>
  <si>
    <t>pro 2,75 Std. inkl EP</t>
  </si>
  <si>
    <t>VP 2,75</t>
  </si>
  <si>
    <t>VP 2,25</t>
  </si>
  <si>
    <t>pro 2,25 Std. inkl. EP</t>
  </si>
  <si>
    <t>pro 2 Std. inkl. EP</t>
  </si>
  <si>
    <t>050022026</t>
  </si>
  <si>
    <t>Nummer</t>
  </si>
  <si>
    <t>Nachname2</t>
  </si>
  <si>
    <t>Adress Zeile 1</t>
  </si>
  <si>
    <t>Adress Zeile 2</t>
  </si>
  <si>
    <t>Adress Zeile 3</t>
  </si>
  <si>
    <t>Adress Zeile 4</t>
  </si>
  <si>
    <t>Name Unternehmen</t>
  </si>
  <si>
    <t>Vor- und Nachname</t>
  </si>
  <si>
    <t>Adresszeile 1</t>
  </si>
  <si>
    <t>Adresszeile 2</t>
  </si>
  <si>
    <t>Telefon</t>
  </si>
  <si>
    <t>E-Mail</t>
  </si>
  <si>
    <t>Website</t>
  </si>
  <si>
    <t>Name Unternehmen·Vor/Nachname·</t>
  </si>
  <si>
    <t>Adresszeile1 · Adresszeile2</t>
  </si>
  <si>
    <t>Vor/Nachname – Namen Unternehmen</t>
  </si>
  <si>
    <t>Adresszeile1 · Adresszeile2 · Telefon · Mobil  ·</t>
  </si>
  <si>
    <r>
      <t xml:space="preserve">IK-Nr.  · Steuer Nr.  · </t>
    </r>
    <r>
      <rPr>
        <sz val="9"/>
        <color theme="1"/>
        <rFont val="Arial"/>
        <family val="2"/>
      </rPr>
      <t xml:space="preserve">IBAN </t>
    </r>
  </si>
  <si>
    <t>webseite</t>
  </si>
  <si>
    <t>Logo</t>
  </si>
  <si>
    <t>LOGO</t>
  </si>
  <si>
    <t>-</t>
  </si>
  <si>
    <t>Mustermann</t>
  </si>
  <si>
    <t>Max</t>
  </si>
  <si>
    <t>Musterstraße 1 Musterstadt 0000</t>
  </si>
  <si>
    <t>M</t>
  </si>
  <si>
    <t>M 0121</t>
  </si>
  <si>
    <t>Musterstraße 100</t>
  </si>
  <si>
    <t>Musterkasse</t>
  </si>
  <si>
    <t>Musterstadt</t>
  </si>
  <si>
    <t>Namen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</si>
</sst>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[$-407]mmmm\ ;@"/>
    <numFmt numFmtId="166" formatCode="mmmm"/>
  </numFmts>
  <fonts count="2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b/>
      <sz val="12"/>
      <color rgb="FF794565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u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 tint="4.9989318521683403E-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6"/>
      <color theme="1" tint="4.9989318521683403E-2"/>
      <name val="Arial"/>
      <family val="2"/>
    </font>
    <font>
      <b/>
      <sz val="16"/>
      <color theme="1" tint="4.9989318521683403E-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8" fontId="2" fillId="0" borderId="0" xfId="0" applyNumberFormat="1" applyFont="1" applyAlignment="1">
      <alignment horizontal="left"/>
    </xf>
    <xf numFmtId="8" fontId="0" fillId="0" borderId="0" xfId="0" applyNumberFormat="1"/>
    <xf numFmtId="8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16" xfId="0" applyFont="1" applyBorder="1"/>
    <xf numFmtId="0" fontId="13" fillId="0" borderId="0" xfId="0" applyFont="1"/>
    <xf numFmtId="0" fontId="18" fillId="0" borderId="0" xfId="0" applyFont="1"/>
    <xf numFmtId="0" fontId="5" fillId="5" borderId="5" xfId="0" applyFont="1" applyFill="1" applyBorder="1"/>
    <xf numFmtId="0" fontId="5" fillId="5" borderId="6" xfId="0" applyFont="1" applyFill="1" applyBorder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5" borderId="10" xfId="0" applyFont="1" applyFill="1" applyBorder="1"/>
    <xf numFmtId="0" fontId="5" fillId="5" borderId="0" xfId="0" applyFont="1" applyFill="1" applyAlignment="1">
      <alignment horizontal="right" vertical="center"/>
    </xf>
    <xf numFmtId="0" fontId="5" fillId="5" borderId="8" xfId="0" applyFont="1" applyFill="1" applyBorder="1"/>
    <xf numFmtId="0" fontId="5" fillId="5" borderId="9" xfId="0" applyFont="1" applyFill="1" applyBorder="1"/>
    <xf numFmtId="0" fontId="5" fillId="5" borderId="9" xfId="0" applyFont="1" applyFill="1" applyBorder="1" applyAlignment="1">
      <alignment horizontal="right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left"/>
    </xf>
    <xf numFmtId="0" fontId="0" fillId="5" borderId="0" xfId="0" applyFill="1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/>
    <xf numFmtId="0" fontId="9" fillId="5" borderId="5" xfId="0" applyFont="1" applyFill="1" applyBorder="1"/>
    <xf numFmtId="0" fontId="5" fillId="5" borderId="6" xfId="0" applyFont="1" applyFill="1" applyBorder="1" applyAlignment="1">
      <alignment horizontal="left"/>
    </xf>
    <xf numFmtId="14" fontId="5" fillId="5" borderId="5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center"/>
    </xf>
    <xf numFmtId="14" fontId="5" fillId="5" borderId="7" xfId="0" applyNumberFormat="1" applyFont="1" applyFill="1" applyBorder="1" applyAlignment="1">
      <alignment horizontal="right"/>
    </xf>
    <xf numFmtId="14" fontId="5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9" fillId="5" borderId="10" xfId="0" applyFont="1" applyFill="1" applyBorder="1"/>
    <xf numFmtId="0" fontId="9" fillId="5" borderId="8" xfId="0" applyFont="1" applyFill="1" applyBorder="1"/>
    <xf numFmtId="0" fontId="5" fillId="5" borderId="9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center"/>
    </xf>
    <xf numFmtId="14" fontId="5" fillId="5" borderId="12" xfId="0" applyNumberFormat="1" applyFont="1" applyFill="1" applyBorder="1" applyAlignment="1">
      <alignment horizontal="right"/>
    </xf>
    <xf numFmtId="0" fontId="9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14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right"/>
    </xf>
    <xf numFmtId="0" fontId="4" fillId="5" borderId="15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44" fontId="4" fillId="5" borderId="1" xfId="1" applyFont="1" applyFill="1" applyBorder="1"/>
    <xf numFmtId="164" fontId="3" fillId="5" borderId="0" xfId="0" applyNumberFormat="1" applyFont="1" applyFill="1" applyAlignment="1">
      <alignment horizontal="center"/>
    </xf>
    <xf numFmtId="0" fontId="3" fillId="5" borderId="0" xfId="0" applyFont="1" applyFill="1"/>
    <xf numFmtId="0" fontId="0" fillId="5" borderId="0" xfId="0" applyFill="1" applyAlignment="1">
      <alignment horizontal="left"/>
    </xf>
    <xf numFmtId="0" fontId="1" fillId="5" borderId="0" xfId="0" applyFont="1" applyFill="1"/>
    <xf numFmtId="0" fontId="3" fillId="5" borderId="6" xfId="0" applyFont="1" applyFill="1" applyBorder="1"/>
    <xf numFmtId="0" fontId="1" fillId="5" borderId="6" xfId="0" applyFont="1" applyFill="1" applyBorder="1"/>
    <xf numFmtId="0" fontId="0" fillId="5" borderId="6" xfId="0" applyFill="1" applyBorder="1" applyAlignment="1">
      <alignment horizontal="right"/>
    </xf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5" fillId="6" borderId="0" xfId="0" applyFont="1" applyFill="1"/>
    <xf numFmtId="0" fontId="6" fillId="5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right"/>
    </xf>
    <xf numFmtId="14" fontId="6" fillId="5" borderId="0" xfId="0" applyNumberFormat="1" applyFont="1" applyFill="1"/>
    <xf numFmtId="0" fontId="6" fillId="5" borderId="0" xfId="0" applyFont="1" applyFill="1"/>
    <xf numFmtId="0" fontId="17" fillId="5" borderId="2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 vertical="center"/>
    </xf>
    <xf numFmtId="165" fontId="5" fillId="5" borderId="5" xfId="0" applyNumberFormat="1" applyFont="1" applyFill="1" applyBorder="1"/>
    <xf numFmtId="165" fontId="5" fillId="5" borderId="7" xfId="0" applyNumberFormat="1" applyFont="1" applyFill="1" applyBorder="1"/>
    <xf numFmtId="165" fontId="5" fillId="5" borderId="0" xfId="0" applyNumberFormat="1" applyFont="1" applyFill="1"/>
    <xf numFmtId="165" fontId="5" fillId="5" borderId="11" xfId="0" applyNumberFormat="1" applyFont="1" applyFill="1" applyBorder="1" applyAlignment="1">
      <alignment horizontal="center"/>
    </xf>
    <xf numFmtId="0" fontId="5" fillId="5" borderId="11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14" fontId="5" fillId="5" borderId="3" xfId="0" applyNumberFormat="1" applyFont="1" applyFill="1" applyBorder="1"/>
    <xf numFmtId="0" fontId="5" fillId="5" borderId="12" xfId="0" applyFont="1" applyFill="1" applyBorder="1"/>
    <xf numFmtId="0" fontId="16" fillId="5" borderId="0" xfId="0" applyFont="1" applyFill="1"/>
    <xf numFmtId="0" fontId="16" fillId="5" borderId="0" xfId="0" applyFont="1" applyFill="1" applyAlignment="1">
      <alignment horizontal="left"/>
    </xf>
    <xf numFmtId="0" fontId="16" fillId="5" borderId="0" xfId="0" applyFont="1" applyFill="1" applyAlignment="1">
      <alignment horizontal="right"/>
    </xf>
    <xf numFmtId="0" fontId="16" fillId="5" borderId="0" xfId="0" applyFont="1" applyFill="1" applyAlignment="1">
      <alignment horizontal="center"/>
    </xf>
    <xf numFmtId="0" fontId="0" fillId="5" borderId="9" xfId="0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right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0" fontId="10" fillId="5" borderId="2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49" fontId="5" fillId="5" borderId="10" xfId="0" applyNumberFormat="1" applyFont="1" applyFill="1" applyBorder="1" applyAlignment="1">
      <alignment horizontal="right"/>
    </xf>
    <xf numFmtId="49" fontId="5" fillId="5" borderId="0" xfId="0" applyNumberFormat="1" applyFont="1" applyFill="1" applyAlignment="1">
      <alignment horizontal="right"/>
    </xf>
    <xf numFmtId="49" fontId="5" fillId="5" borderId="11" xfId="0" applyNumberFormat="1" applyFont="1" applyFill="1" applyBorder="1" applyAlignment="1">
      <alignment horizontal="right"/>
    </xf>
    <xf numFmtId="0" fontId="3" fillId="5" borderId="0" xfId="0" applyFont="1" applyFill="1" applyAlignment="1">
      <alignment horizontal="right"/>
    </xf>
    <xf numFmtId="166" fontId="17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7" fillId="5" borderId="2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/>
    </xf>
    <xf numFmtId="14" fontId="17" fillId="5" borderId="2" xfId="0" applyNumberFormat="1" applyFont="1" applyFill="1" applyBorder="1" applyAlignment="1">
      <alignment horizontal="left" vertical="center" wrapText="1"/>
    </xf>
    <xf numFmtId="14" fontId="17" fillId="5" borderId="3" xfId="0" applyNumberFormat="1" applyFont="1" applyFill="1" applyBorder="1" applyAlignment="1">
      <alignment horizontal="left" vertical="center" wrapText="1"/>
    </xf>
    <xf numFmtId="14" fontId="17" fillId="5" borderId="4" xfId="0" applyNumberFormat="1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20" fillId="2" borderId="0" xfId="0" applyFont="1" applyFill="1"/>
    <xf numFmtId="0" fontId="0" fillId="2" borderId="0" xfId="0" applyFill="1"/>
    <xf numFmtId="0" fontId="13" fillId="2" borderId="0" xfId="0" applyFont="1" applyFill="1"/>
    <xf numFmtId="0" fontId="0" fillId="2" borderId="0" xfId="0" applyFill="1" applyAlignment="1">
      <alignment horizontal="left"/>
    </xf>
    <xf numFmtId="0" fontId="21" fillId="2" borderId="0" xfId="0" applyFont="1" applyFill="1"/>
    <xf numFmtId="0" fontId="13" fillId="2" borderId="0" xfId="0" applyFont="1" applyFill="1" applyAlignment="1">
      <alignment horizontal="right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19" fillId="2" borderId="0" xfId="0" applyFont="1" applyFill="1"/>
    <xf numFmtId="0" fontId="22" fillId="2" borderId="0" xfId="0" applyFont="1" applyFill="1"/>
    <xf numFmtId="0" fontId="23" fillId="4" borderId="0" xfId="0" applyFont="1" applyFill="1" applyAlignment="1">
      <alignment horizontal="center" vertical="center"/>
    </xf>
    <xf numFmtId="0" fontId="8" fillId="2" borderId="0" xfId="0" applyFont="1" applyFill="1"/>
    <xf numFmtId="0" fontId="24" fillId="2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25" fillId="0" borderId="0" xfId="0" applyFont="1"/>
    <xf numFmtId="8" fontId="25" fillId="0" borderId="0" xfId="0" applyNumberFormat="1" applyFont="1" applyAlignment="1">
      <alignment horizontal="left"/>
    </xf>
    <xf numFmtId="0" fontId="25" fillId="0" borderId="0" xfId="0" applyFont="1" applyAlignment="1">
      <alignment wrapText="1"/>
    </xf>
    <xf numFmtId="0" fontId="25" fillId="0" borderId="0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14" fontId="25" fillId="0" borderId="0" xfId="0" applyNumberFormat="1" applyFont="1" applyAlignment="1">
      <alignment vertical="center"/>
    </xf>
    <xf numFmtId="0" fontId="16" fillId="0" borderId="0" xfId="0" applyFont="1"/>
    <xf numFmtId="0" fontId="25" fillId="0" borderId="0" xfId="0" applyFont="1" applyAlignment="1">
      <alignment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14" fontId="0" fillId="0" borderId="0" xfId="0" applyNumberFormat="1" applyFont="1"/>
    <xf numFmtId="0" fontId="26" fillId="0" borderId="0" xfId="0" applyFont="1"/>
    <xf numFmtId="14" fontId="25" fillId="0" borderId="0" xfId="0" applyNumberFormat="1" applyFont="1" applyAlignment="1">
      <alignment vertical="center" wrapText="1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Font="1" applyFill="1" applyBorder="1" applyAlignment="1">
      <alignment horizontal="left"/>
    </xf>
    <xf numFmtId="0" fontId="6" fillId="5" borderId="0" xfId="0" applyNumberFormat="1" applyFont="1" applyFill="1" applyAlignment="1">
      <alignment horizontal="left"/>
    </xf>
    <xf numFmtId="0" fontId="23" fillId="4" borderId="0" xfId="0" applyNumberFormat="1" applyFont="1" applyFill="1" applyAlignment="1">
      <alignment horizontal="center" vertical="center"/>
    </xf>
  </cellXfs>
  <cellStyles count="2">
    <cellStyle name="Standard" xfId="0" builtinId="0"/>
    <cellStyle name="Währung" xfId="1" builtinId="4"/>
  </cellStyles>
  <dxfs count="24">
    <dxf>
      <font>
        <color theme="5"/>
      </font>
      <fill>
        <patternFill>
          <bgColor theme="0"/>
        </patternFill>
      </fill>
    </dxf>
    <dxf>
      <font>
        <color rgb="FFFF0000"/>
      </font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#,##0.00\ &quot;€&quot;;[Red]\-#,##0.00\ &quot;€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FFFF93"/>
      <color rgb="FFF5EADF"/>
      <color rgb="FFFFFFFF"/>
      <color rgb="FFF6ECE2"/>
      <color rgb="FF794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E$5" lockText="1" noThreeD="1"/>
</file>

<file path=xl/ctrlProps/ctrlProp2.xml><?xml version="1.0" encoding="utf-8"?>
<formControlPr xmlns="http://schemas.microsoft.com/office/spreadsheetml/2009/9/main" objectType="CheckBox" fmlaLink="$E$8" lockText="1" noThreeD="1"/>
</file>

<file path=xl/ctrlProps/ctrlProp3.xml><?xml version="1.0" encoding="utf-8"?>
<formControlPr xmlns="http://schemas.microsoft.com/office/spreadsheetml/2009/9/main" objectType="List" dx="26" fmlaLink="C5" fmlaRange="Informationen!$D$4:$D$45" noThreeD="1" sel="1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215348</xdr:colOff>
      <xdr:row>23</xdr:row>
      <xdr:rowOff>57979</xdr:rowOff>
    </xdr:from>
    <xdr:to>
      <xdr:col>12</xdr:col>
      <xdr:colOff>16566</xdr:colOff>
      <xdr:row>26</xdr:row>
      <xdr:rowOff>99392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8FB13872-C350-E28B-1F07-9B2F7B3D5D95}"/>
            </a:ext>
          </a:extLst>
        </xdr:cNvPr>
        <xdr:cNvSpPr/>
      </xdr:nvSpPr>
      <xdr:spPr>
        <a:xfrm>
          <a:off x="4745935" y="3230218"/>
          <a:ext cx="1962979" cy="63776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 u="sng"/>
            <a:t>nach</a:t>
          </a:r>
          <a:r>
            <a:rPr lang="de-DE" sz="1100" b="1" u="sng" baseline="0"/>
            <a:t> Kenntnis löschen:</a:t>
          </a:r>
          <a:br>
            <a:rPr lang="de-DE" sz="1100" b="1" u="sng" baseline="0"/>
          </a:br>
          <a:r>
            <a:rPr lang="de-DE" sz="1100" b="0" u="none" baseline="0"/>
            <a:t>Rechnungsnummer muss manuell eingetragen werden</a:t>
          </a:r>
        </a:p>
      </xdr:txBody>
    </xdr:sp>
    <xdr:clientData/>
  </xdr:twoCellAnchor>
  <xdr:twoCellAnchor>
    <xdr:from>
      <xdr:col>0</xdr:col>
      <xdr:colOff>99391</xdr:colOff>
      <xdr:row>31</xdr:row>
      <xdr:rowOff>157370</xdr:rowOff>
    </xdr:from>
    <xdr:to>
      <xdr:col>6</xdr:col>
      <xdr:colOff>0</xdr:colOff>
      <xdr:row>35</xdr:row>
      <xdr:rowOff>57979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F7D2FBB4-2BD1-4F3D-9E21-6F63AA4C0150}"/>
            </a:ext>
          </a:extLst>
        </xdr:cNvPr>
        <xdr:cNvSpPr/>
      </xdr:nvSpPr>
      <xdr:spPr>
        <a:xfrm>
          <a:off x="99391" y="4779066"/>
          <a:ext cx="2252870" cy="67089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 u="sng"/>
            <a:t>nach</a:t>
          </a:r>
          <a:r>
            <a:rPr lang="de-DE" sz="1100" b="1" u="sng" baseline="0"/>
            <a:t> Kenntnis löschen:</a:t>
          </a:r>
          <a:br>
            <a:rPr lang="de-DE" sz="1100" b="1" u="sng" baseline="0"/>
          </a:br>
          <a:r>
            <a:rPr lang="de-DE" sz="1100" b="0" u="none" baseline="0"/>
            <a:t>Anzahl Einsätze und Leistung muss manuell eingegeben werden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3</xdr:row>
          <xdr:rowOff>0</xdr:rowOff>
        </xdr:from>
        <xdr:to>
          <xdr:col>5</xdr:col>
          <xdr:colOff>11205</xdr:colOff>
          <xdr:row>5</xdr:row>
          <xdr:rowOff>166969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8DF9B033-7403-4361-8BE5-17CE8A3AC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Verhinderungspflege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5</xdr:row>
          <xdr:rowOff>133350</xdr:rowOff>
        </xdr:from>
        <xdr:to>
          <xdr:col>5</xdr:col>
          <xdr:colOff>459441</xdr:colOff>
          <xdr:row>8</xdr:row>
          <xdr:rowOff>103654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3539FA02-8257-4485-8CC0-6F53605DB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Private Bezahlung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1162051</xdr:colOff>
          <xdr:row>3</xdr:row>
          <xdr:rowOff>112058</xdr:rowOff>
        </xdr:from>
        <xdr:to>
          <xdr:col>2</xdr:col>
          <xdr:colOff>2247902</xdr:colOff>
          <xdr:row>17</xdr:row>
          <xdr:rowOff>108697</xdr:rowOff>
        </xdr:to>
        <xdr:sp macro="" textlink="">
          <xdr:nvSpPr>
            <xdr:cNvPr id="5140" name="List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8B82A76D-FC5B-6389-6E67-646E51E66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Rechnungsvorlage3.xlsx" TargetMode="External"/><Relationship Id="rId2" Type="http://schemas.openxmlformats.org/officeDocument/2006/relationships/externalLinkPath" Target="file:///C:\Users\quarz\Downloads\Rechnungsvorlage3.xlsx" TargetMode="External"/><Relationship Id="rId1" Type="http://schemas.openxmlformats.org/officeDocument/2006/relationships/externalLinkPath" Target="/Users/quarz/Downloads/Rechnungsvorlage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hnung"/>
      <sheetName val="Leistungsnachweis"/>
      <sheetName val="Informationen"/>
      <sheetName val="Tabelle2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iefel, Lyn" id="{07479BC7-DDAA-45D9-8671-24507AC8603D}" userId="S::uas0040452@stud.fra-uas.de::3f350ddc-65af-4a84-a8af-9ee1023a960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9B7C8-E8E6-4025-B2A2-3EA10002A936}" name="Kundeninformation" displayName="Kundeninformation" ref="B3:I25" totalsRowShown="0" headerRowDxfId="10" dataDxfId="9">
  <autoFilter ref="B3:I25" xr:uid="{1A49B7C8-E8E6-4025-B2A2-3EA10002A936}"/>
  <tableColumns count="8">
    <tableColumn id="1" xr3:uid="{88C21E45-5300-4154-85F0-868EF033488D}" name="Nummer" dataDxfId="18"/>
    <tableColumn id="2" xr3:uid="{6B3E2B70-D9FF-44BC-8083-05B0A4859325}" name="Nachname2" dataDxfId="17"/>
    <tableColumn id="3" xr3:uid="{8FA30D45-9C13-43EE-ADDA-AD1F18BF9FE0}" name="Namen" dataDxfId="16"/>
    <tableColumn id="4" xr3:uid="{68D125AF-3B70-41E0-B22C-B15AC336AED6}" name="Adresse" dataDxfId="15"/>
    <tableColumn id="5" xr3:uid="{CAEC4FF1-C6D3-4A95-8211-CD6F91781F83}" name="Geburtsdatum" dataDxfId="14"/>
    <tableColumn id="6" xr3:uid="{66BF91B5-738D-4D50-83F9-DCB2235DD34A}" name="Krankenkasse" dataDxfId="13"/>
    <tableColumn id="7" xr3:uid="{7AA6FFB6-DB1E-4FD0-8A18-086C252D95C5}" name="Versicherungsnummer" dataDxfId="12"/>
    <tableColumn id="8" xr3:uid="{ECE353CC-4B53-4467-A03A-7DB040576AB8}" name="Pflegegrad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68EE6C-3958-4ED5-92FA-8D4F32E9BB10}" name="Krankenkasseninformationen" displayName="Krankenkasseninformationen" ref="L3:P13" totalsRowShown="0" headerRowDxfId="3" dataDxfId="2">
  <autoFilter ref="L3:P13" xr:uid="{0D68EE6C-3958-4ED5-92FA-8D4F32E9BB10}"/>
  <tableColumns count="5">
    <tableColumn id="1" xr3:uid="{81683556-40BD-40A1-AAD6-AA7C62CBB6B7}" name="Name" dataDxfId="8"/>
    <tableColumn id="2" xr3:uid="{1E9438D7-6987-4215-BD3B-7D31C41E2388}" name="Adress Zeile 1" dataDxfId="7"/>
    <tableColumn id="3" xr3:uid="{205D11D0-2AB2-4092-9BE6-D923B25E29D6}" name="Adress Zeile 2" dataDxfId="6"/>
    <tableColumn id="4" xr3:uid="{7C452CC6-D4A1-41A6-9FB9-9668F227B486}" name="Adress Zeile 3" dataDxfId="5"/>
    <tableColumn id="5" xr3:uid="{ECE631B8-AC0F-4F67-AEAD-CA072DF3D330}" name="Adress Zeile 4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2E1FB-5503-4AE4-A3AE-BACF660EBDBD}" name="AKTABELLE" displayName="AKTABELLE" ref="A4:F58" totalsRowShown="0">
  <autoFilter ref="A4:F58" xr:uid="{29E2E1FB-5503-4AE4-A3AE-BACF660EBDBD}"/>
  <tableColumns count="6">
    <tableColumn id="6" xr3:uid="{36E17C9F-A489-455D-A53B-2F4B63530605}" name="Spalte6" dataDxfId="23"/>
    <tableColumn id="1" xr3:uid="{F3253997-4897-40E5-8D76-065D5DF94DB6}" name="Spalte1"/>
    <tableColumn id="2" xr3:uid="{DE53C144-B383-447D-AE29-15089AFD3FE5}" name="Spalte2"/>
    <tableColumn id="3" xr3:uid="{E5395FF0-A74A-4ADC-8764-5C01C7940323}" name="Spalte3"/>
    <tableColumn id="4" xr3:uid="{4FDAA937-0837-4138-BA49-73C19EDC017C}" name="Spalte4" dataDxfId="22"/>
    <tableColumn id="5" xr3:uid="{8DA66808-E739-4014-8C15-F23C3704AD25}" name="Spalte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6A8588-404D-4170-904C-97BA2B2B2FCB}" name="Leistungsklassen" displayName="Leistungsklassen" ref="H4:J75" totalsRowShown="0">
  <autoFilter ref="H4:J75" xr:uid="{326A8588-404D-4170-904C-97BA2B2B2FCB}"/>
  <tableColumns count="3">
    <tableColumn id="1" xr3:uid="{8D0EF524-04BC-4341-B936-B22F89128E22}" name="Spalte1" dataDxfId="21"/>
    <tableColumn id="2" xr3:uid="{457F9020-F39E-42A6-AFF8-77C6CAAA9D52}" name="Spalte2" dataDxfId="20"/>
    <tableColumn id="3" xr3:uid="{5387211A-C210-4D59-99B4-A8CE45833B88}" name="Spalte3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4" dT="2026-05-18T19:12:30.71" personId="{07479BC7-DDAA-45D9-8671-24507AC8603D}" id="{BB709D58-D43D-4936-A625-A7B4A20706E1}">
    <text>Basiert auf dem Rechnungsdatum</text>
  </threadedComment>
  <threadedComment ref="I26" dT="2026-05-18T19:12:14.40" personId="{07479BC7-DDAA-45D9-8671-24507AC8603D}" id="{F0A80890-1324-478F-889F-2A35F9F5A5AE}">
    <text>Rechnungsdatum standardmäßig auf heutiges Datum getzt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3DE1-3C99-4E31-9BCD-BB114B289F52}">
  <sheetPr codeName="Tabelle2"/>
  <dimension ref="A1:Q61"/>
  <sheetViews>
    <sheetView view="pageLayout" zoomScale="115" zoomScaleNormal="100" zoomScalePageLayoutView="115" workbookViewId="0">
      <selection activeCell="I29" sqref="I29:L29"/>
    </sheetView>
  </sheetViews>
  <sheetFormatPr baseColWidth="10" defaultRowHeight="15" x14ac:dyDescent="0.25"/>
  <cols>
    <col min="1" max="1" width="4.85546875" customWidth="1"/>
    <col min="2" max="2" width="2.7109375" customWidth="1"/>
    <col min="3" max="3" width="2.85546875" customWidth="1"/>
    <col min="4" max="4" width="8.7109375" customWidth="1"/>
    <col min="5" max="5" width="3.28515625" style="7" customWidth="1"/>
    <col min="6" max="6" width="10.28515625" style="10" customWidth="1"/>
    <col min="7" max="7" width="11.28515625" style="7" customWidth="1"/>
    <col min="8" max="8" width="7.28515625" style="9" customWidth="1"/>
    <col min="9" max="9" width="11.85546875" style="9" bestFit="1" customWidth="1"/>
    <col min="10" max="10" width="4.5703125" style="9" customWidth="1"/>
    <col min="11" max="11" width="13.5703125" style="9" customWidth="1"/>
    <col min="12" max="12" width="12.140625" customWidth="1"/>
    <col min="13" max="13" width="2.5703125" customWidth="1"/>
  </cols>
  <sheetData>
    <row r="1" spans="1:17" x14ac:dyDescent="0.25">
      <c r="A1" s="27"/>
      <c r="B1" s="71"/>
      <c r="C1" s="71"/>
      <c r="D1" s="71"/>
      <c r="E1" s="71"/>
      <c r="F1" s="71"/>
      <c r="G1" s="71"/>
      <c r="H1" s="17"/>
      <c r="I1" s="17"/>
      <c r="J1" s="17"/>
      <c r="K1" s="96" t="s">
        <v>282</v>
      </c>
      <c r="L1" s="96"/>
      <c r="M1" s="18"/>
    </row>
    <row r="2" spans="1:17" ht="10.5" customHeight="1" x14ac:dyDescent="0.25">
      <c r="A2" s="27"/>
      <c r="B2" s="71"/>
      <c r="C2" s="71"/>
      <c r="D2" s="71"/>
      <c r="E2" s="71"/>
      <c r="F2" s="71"/>
      <c r="G2" s="71"/>
      <c r="H2" s="17"/>
      <c r="I2" s="17"/>
      <c r="J2" s="17"/>
      <c r="K2" s="97" t="s">
        <v>283</v>
      </c>
      <c r="L2" s="97"/>
      <c r="M2" s="18"/>
    </row>
    <row r="3" spans="1:17" ht="9.75" customHeight="1" x14ac:dyDescent="0.25">
      <c r="A3" s="27"/>
      <c r="B3" s="71"/>
      <c r="C3" s="71"/>
      <c r="D3" s="71"/>
      <c r="E3" s="71"/>
      <c r="F3" s="71"/>
      <c r="G3" s="71"/>
      <c r="H3" s="17"/>
      <c r="I3" s="17"/>
      <c r="J3" s="17"/>
      <c r="K3" s="98" t="s">
        <v>284</v>
      </c>
      <c r="L3" s="98"/>
      <c r="M3" s="18"/>
    </row>
    <row r="4" spans="1:17" ht="10.35" customHeight="1" x14ac:dyDescent="0.25">
      <c r="A4" s="27"/>
      <c r="B4" s="71"/>
      <c r="C4" s="71"/>
      <c r="D4" s="71"/>
      <c r="E4" s="71" t="s">
        <v>295</v>
      </c>
      <c r="F4" s="71"/>
      <c r="G4" s="71"/>
      <c r="H4" s="17"/>
      <c r="I4" s="17"/>
      <c r="J4" s="17"/>
      <c r="K4" s="98" t="s">
        <v>285</v>
      </c>
      <c r="L4" s="98"/>
      <c r="M4" s="18"/>
    </row>
    <row r="5" spans="1:17" ht="10.35" customHeight="1" x14ac:dyDescent="0.25">
      <c r="A5" s="27"/>
      <c r="B5" s="71"/>
      <c r="C5" s="71"/>
      <c r="D5" s="71"/>
      <c r="E5" s="71"/>
      <c r="F5" s="71"/>
      <c r="G5" s="71"/>
      <c r="H5" s="17"/>
      <c r="I5" s="17"/>
      <c r="J5" s="17"/>
      <c r="K5" s="98" t="s">
        <v>286</v>
      </c>
      <c r="L5" s="98"/>
      <c r="M5" s="18"/>
    </row>
    <row r="6" spans="1:17" ht="10.35" customHeight="1" x14ac:dyDescent="0.25">
      <c r="A6" s="27"/>
      <c r="B6" s="71"/>
      <c r="C6" s="71"/>
      <c r="D6" s="71"/>
      <c r="E6" s="71"/>
      <c r="F6" s="71"/>
      <c r="G6" s="71"/>
      <c r="H6" s="17"/>
      <c r="I6" s="17"/>
      <c r="J6" s="17"/>
      <c r="K6" s="98" t="s">
        <v>287</v>
      </c>
      <c r="L6" s="98"/>
      <c r="M6" s="18"/>
    </row>
    <row r="7" spans="1:17" ht="10.35" customHeight="1" x14ac:dyDescent="0.25">
      <c r="A7" s="27"/>
      <c r="B7" s="71"/>
      <c r="C7" s="71"/>
      <c r="D7" s="71"/>
      <c r="E7" s="71"/>
      <c r="F7" s="71"/>
      <c r="G7" s="71"/>
      <c r="H7" s="17"/>
      <c r="I7" s="17"/>
      <c r="J7" s="17"/>
      <c r="K7" s="98" t="s">
        <v>288</v>
      </c>
      <c r="L7" s="98"/>
      <c r="M7" s="18"/>
    </row>
    <row r="8" spans="1:17" ht="10.35" customHeight="1" x14ac:dyDescent="0.25">
      <c r="A8" s="27"/>
      <c r="B8" s="71"/>
      <c r="C8" s="71"/>
      <c r="D8" s="71"/>
      <c r="E8" s="71"/>
      <c r="F8" s="71"/>
      <c r="G8" s="71"/>
      <c r="H8" s="17"/>
      <c r="I8" s="17"/>
      <c r="J8" s="17"/>
      <c r="K8" s="72"/>
      <c r="L8" s="20"/>
      <c r="M8" s="18"/>
    </row>
    <row r="9" spans="1:17" ht="10.35" customHeight="1" x14ac:dyDescent="0.25">
      <c r="A9" s="27"/>
      <c r="B9" s="71"/>
      <c r="C9" s="71"/>
      <c r="D9" s="71"/>
      <c r="E9" s="71"/>
      <c r="F9" s="71"/>
      <c r="G9" s="71"/>
      <c r="H9" s="17"/>
      <c r="I9" s="17"/>
      <c r="J9" s="17"/>
      <c r="K9" s="24"/>
      <c r="L9" s="25"/>
      <c r="M9" s="18"/>
    </row>
    <row r="10" spans="1:17" ht="10.35" customHeight="1" x14ac:dyDescent="0.25">
      <c r="A10" s="18"/>
      <c r="B10" s="18"/>
      <c r="C10" s="26"/>
      <c r="D10" s="26"/>
      <c r="E10" s="16"/>
      <c r="F10" s="26"/>
      <c r="G10" s="16"/>
      <c r="H10" s="17"/>
      <c r="I10" s="17"/>
      <c r="J10" s="17"/>
      <c r="K10" s="24"/>
      <c r="L10" s="25"/>
      <c r="M10" s="18"/>
    </row>
    <row r="11" spans="1:17" ht="8.25" customHeight="1" x14ac:dyDescent="0.25">
      <c r="A11" s="18"/>
      <c r="B11" s="18"/>
      <c r="C11" s="26"/>
      <c r="D11" s="26"/>
      <c r="E11" s="16"/>
      <c r="F11" s="26"/>
      <c r="G11" s="16"/>
      <c r="H11" s="17"/>
      <c r="I11" s="17"/>
      <c r="J11" s="17"/>
      <c r="K11" s="17"/>
      <c r="L11" s="18"/>
      <c r="M11" s="18"/>
    </row>
    <row r="12" spans="1:17" ht="10.5" customHeight="1" x14ac:dyDescent="0.25">
      <c r="A12" s="18"/>
      <c r="B12" s="27"/>
      <c r="C12" s="28" t="s">
        <v>289</v>
      </c>
      <c r="D12" s="28"/>
      <c r="E12" s="25"/>
      <c r="F12" s="29"/>
      <c r="G12" s="25"/>
      <c r="H12" s="24"/>
      <c r="I12" s="24"/>
      <c r="J12" s="24"/>
      <c r="K12" s="17"/>
      <c r="L12" s="18"/>
      <c r="M12" s="18"/>
    </row>
    <row r="13" spans="1:17" ht="9.75" customHeight="1" x14ac:dyDescent="0.25">
      <c r="A13" s="18"/>
      <c r="B13" s="27"/>
      <c r="C13" s="28" t="s">
        <v>290</v>
      </c>
      <c r="D13" s="28"/>
      <c r="E13" s="25"/>
      <c r="F13" s="29"/>
      <c r="G13" s="25"/>
      <c r="H13" s="24"/>
      <c r="I13" s="24"/>
      <c r="J13" s="24"/>
      <c r="K13" s="17"/>
      <c r="L13" s="18"/>
      <c r="M13" s="18"/>
    </row>
    <row r="14" spans="1:17" ht="4.5" customHeight="1" x14ac:dyDescent="0.25">
      <c r="A14" s="18"/>
      <c r="B14" s="27"/>
      <c r="C14" s="29"/>
      <c r="D14" s="26"/>
      <c r="E14" s="16"/>
      <c r="F14" s="26"/>
      <c r="G14" s="16"/>
      <c r="H14" s="17"/>
      <c r="I14" s="17"/>
      <c r="J14" s="17"/>
      <c r="K14" s="17"/>
      <c r="L14" s="18"/>
      <c r="M14" s="18"/>
    </row>
    <row r="15" spans="1:17" x14ac:dyDescent="0.25">
      <c r="A15" s="18"/>
      <c r="B15" s="27"/>
      <c r="C15" s="30" t="str">
        <f>IF(IF(ISERROR(VLOOKUP($I$32,Informationen!$L:$P,2,FALSE)),"",VLOOKUP($I$32,Informationen!$L:$P,2,FALSE))=0,"",VLOOKUP($I$32,Informationen!$L:$P,2,FALSE))</f>
        <v>-</v>
      </c>
      <c r="D15" s="30"/>
      <c r="E15" s="31"/>
      <c r="F15" s="32"/>
      <c r="G15" s="31"/>
      <c r="H15" s="17"/>
      <c r="I15" s="17"/>
      <c r="J15" s="17"/>
      <c r="K15" s="33"/>
      <c r="L15" s="30"/>
      <c r="M15" s="30"/>
      <c r="N15" s="3"/>
      <c r="O15" s="3"/>
      <c r="P15" s="3"/>
      <c r="Q15" s="3"/>
    </row>
    <row r="16" spans="1:17" x14ac:dyDescent="0.25">
      <c r="A16" s="18"/>
      <c r="B16" s="27"/>
      <c r="C16" s="30" t="str">
        <f>IF(IF(ISERROR(VLOOKUP($I$32,Informationen!$L:$P,3,FALSE)),"",VLOOKUP($I$32,Informationen!$L:$P,3,FALSE))=0,"",VLOOKUP($I$32,Informationen!$L:$P,3,FALSE))</f>
        <v>-</v>
      </c>
      <c r="D16" s="30"/>
      <c r="E16" s="31"/>
      <c r="F16" s="32"/>
      <c r="G16" s="31"/>
      <c r="H16" s="17"/>
      <c r="I16" s="17"/>
      <c r="J16" s="17"/>
      <c r="K16" s="17"/>
      <c r="L16" s="18"/>
      <c r="M16" s="18"/>
    </row>
    <row r="17" spans="1:13" x14ac:dyDescent="0.25">
      <c r="A17" s="18"/>
      <c r="B17" s="27"/>
      <c r="C17" s="30" t="str">
        <f>IF(IF(ISERROR(VLOOKUP($I$32,Informationen!$L:$P,4,FALSE)),"",VLOOKUP($I$32,Informationen!$L:$P,4,FALSE))=0,"",VLOOKUP($I$32,Informationen!$L:$P,4,FALSE))</f>
        <v>-</v>
      </c>
      <c r="D17" s="30"/>
      <c r="E17" s="31"/>
      <c r="F17" s="32"/>
      <c r="G17" s="31"/>
      <c r="H17" s="17"/>
      <c r="I17" s="17"/>
      <c r="J17" s="17"/>
      <c r="K17" s="17"/>
      <c r="L17" s="18"/>
      <c r="M17" s="18"/>
    </row>
    <row r="18" spans="1:13" ht="3.75" customHeight="1" x14ac:dyDescent="0.25">
      <c r="A18" s="18"/>
      <c r="B18" s="27"/>
      <c r="C18" s="32"/>
      <c r="D18" s="32"/>
      <c r="E18" s="31"/>
      <c r="F18" s="32"/>
      <c r="G18" s="31"/>
      <c r="H18" s="17"/>
      <c r="I18" s="17"/>
      <c r="J18" s="17"/>
      <c r="K18" s="17"/>
      <c r="L18" s="18"/>
      <c r="M18" s="18"/>
    </row>
    <row r="19" spans="1:13" x14ac:dyDescent="0.25">
      <c r="A19" s="18"/>
      <c r="B19" s="27"/>
      <c r="C19" s="30" t="str">
        <f>IF(IF(ISERROR(VLOOKUP($I$32,Informationen!$L:$P,5,FALSE)),"",VLOOKUP($I$32,Informationen!$L:$P,5,FALSE))=0,"",VLOOKUP($I$32,Informationen!$L:$P,5,FALSE))</f>
        <v>-</v>
      </c>
      <c r="D19" s="30"/>
      <c r="E19" s="31"/>
      <c r="F19" s="32"/>
      <c r="G19" s="31"/>
      <c r="H19" s="17"/>
      <c r="I19" s="17"/>
      <c r="J19" s="17"/>
      <c r="K19" s="17"/>
      <c r="L19" s="18"/>
      <c r="M19" s="18"/>
    </row>
    <row r="20" spans="1:13" ht="9.75" customHeight="1" x14ac:dyDescent="0.25">
      <c r="A20" s="18"/>
      <c r="B20" s="27"/>
      <c r="C20" s="26"/>
      <c r="D20" s="26"/>
      <c r="E20" s="16"/>
      <c r="F20" s="26"/>
      <c r="G20" s="16"/>
      <c r="H20" s="17"/>
      <c r="I20" s="17"/>
      <c r="J20" s="17"/>
      <c r="K20" s="17"/>
      <c r="L20" s="18"/>
      <c r="M20" s="18"/>
    </row>
    <row r="21" spans="1:13" ht="15.75" x14ac:dyDescent="0.25">
      <c r="A21" s="18"/>
      <c r="B21" s="27"/>
      <c r="C21" s="103" t="str">
        <f>IF(Eingabe!$E$5=TRUE,"Rechnung - Verhinderungspflege",IF(Eingabe!$E$8=TRUE,"Rechnung - Privat", "Rechnung - Alltagshilfe"))</f>
        <v>Rechnung - Verhinderungspflege</v>
      </c>
      <c r="D21" s="103"/>
      <c r="E21" s="103"/>
      <c r="F21" s="103"/>
      <c r="G21" s="103"/>
      <c r="H21" s="17"/>
      <c r="I21" s="17"/>
      <c r="J21" s="17"/>
      <c r="K21" s="17"/>
      <c r="L21" s="18"/>
      <c r="M21" s="18"/>
    </row>
    <row r="22" spans="1:13" ht="12.75" customHeight="1" x14ac:dyDescent="0.25">
      <c r="A22" s="18"/>
      <c r="B22" s="34"/>
      <c r="C22" s="18"/>
      <c r="D22" s="18"/>
      <c r="E22" s="16"/>
      <c r="F22" s="26"/>
      <c r="G22" s="16"/>
      <c r="H22" s="17"/>
      <c r="I22" s="17"/>
      <c r="J22" s="17"/>
      <c r="K22" s="17"/>
      <c r="L22" s="18"/>
      <c r="M22" s="18"/>
    </row>
    <row r="23" spans="1:13" ht="10.5" customHeight="1" x14ac:dyDescent="0.25">
      <c r="A23" s="18"/>
      <c r="B23" s="18"/>
      <c r="C23" s="18"/>
      <c r="D23" s="18"/>
      <c r="E23" s="16"/>
      <c r="F23" s="26"/>
      <c r="G23" s="16"/>
      <c r="H23" s="17"/>
      <c r="I23" s="17"/>
      <c r="J23" s="17"/>
      <c r="K23" s="17"/>
      <c r="L23" s="18"/>
      <c r="M23" s="18"/>
    </row>
    <row r="24" spans="1:13" ht="15.75" x14ac:dyDescent="0.25">
      <c r="A24" s="18"/>
      <c r="B24" s="18"/>
      <c r="C24" s="35" t="s">
        <v>1</v>
      </c>
      <c r="D24" s="14"/>
      <c r="E24" s="15"/>
      <c r="F24" s="36"/>
      <c r="G24" s="37">
        <f ca="1">EOMONTH(I26,-1)+1</f>
        <v>46143</v>
      </c>
      <c r="H24" s="38" t="s">
        <v>17</v>
      </c>
      <c r="I24" s="39">
        <f ca="1">EOMONTH(I26,0)</f>
        <v>46173</v>
      </c>
      <c r="J24" s="40"/>
      <c r="K24" s="41"/>
      <c r="L24" s="18"/>
      <c r="M24" s="18"/>
    </row>
    <row r="25" spans="1:13" ht="15.75" x14ac:dyDescent="0.25">
      <c r="A25" s="18"/>
      <c r="B25" s="18"/>
      <c r="C25" s="42" t="s">
        <v>2</v>
      </c>
      <c r="D25" s="19"/>
      <c r="E25" s="16"/>
      <c r="F25" s="26"/>
      <c r="G25" s="116" t="s">
        <v>275</v>
      </c>
      <c r="H25" s="117"/>
      <c r="I25" s="118"/>
      <c r="J25" s="17"/>
      <c r="K25" s="41"/>
      <c r="L25" s="18"/>
      <c r="M25" s="18"/>
    </row>
    <row r="26" spans="1:13" ht="15.75" x14ac:dyDescent="0.25">
      <c r="A26" s="18"/>
      <c r="B26" s="18"/>
      <c r="C26" s="43" t="s">
        <v>3</v>
      </c>
      <c r="D26" s="21"/>
      <c r="E26" s="23"/>
      <c r="F26" s="44"/>
      <c r="G26" s="45"/>
      <c r="H26" s="46"/>
      <c r="I26" s="47">
        <f ca="1">TODAY()</f>
        <v>46160</v>
      </c>
      <c r="J26" s="40"/>
      <c r="K26" s="41"/>
      <c r="L26" s="18"/>
      <c r="M26" s="18"/>
    </row>
    <row r="27" spans="1:13" ht="12" customHeight="1" x14ac:dyDescent="0.25">
      <c r="A27" s="18"/>
      <c r="B27" s="18"/>
      <c r="C27" s="48"/>
      <c r="D27" s="18"/>
      <c r="E27" s="16"/>
      <c r="F27" s="26"/>
      <c r="G27" s="16"/>
      <c r="H27" s="17"/>
      <c r="I27" s="17"/>
      <c r="J27" s="17"/>
      <c r="K27" s="40"/>
      <c r="L27" s="18"/>
      <c r="M27" s="18"/>
    </row>
    <row r="28" spans="1:13" ht="10.5" customHeight="1" x14ac:dyDescent="0.25">
      <c r="A28" s="18"/>
      <c r="B28" s="18"/>
      <c r="C28" s="18"/>
      <c r="D28" s="18"/>
      <c r="E28" s="16"/>
      <c r="F28" s="26"/>
      <c r="G28" s="16"/>
      <c r="H28" s="17"/>
      <c r="I28" s="17"/>
      <c r="J28" s="17"/>
      <c r="K28" s="17"/>
      <c r="L28" s="18"/>
      <c r="M28" s="18"/>
    </row>
    <row r="29" spans="1:13" ht="15.2" customHeight="1" x14ac:dyDescent="0.25">
      <c r="A29" s="18"/>
      <c r="B29" s="18"/>
      <c r="C29" s="49"/>
      <c r="D29" s="49" t="s">
        <v>4</v>
      </c>
      <c r="E29" s="50"/>
      <c r="F29" s="51"/>
      <c r="G29" s="52" t="s">
        <v>5</v>
      </c>
      <c r="H29" s="41"/>
      <c r="I29" s="111" t="str">
        <f>IF(Eingabe!$E$12=0,VLOOKUP(0,Kundeninformation[],3,FALSE),VLOOKUP(Eingabe!$C$5,Kundeninformation[],3,FALSE))</f>
        <v>-</v>
      </c>
      <c r="J29" s="111"/>
      <c r="K29" s="111"/>
      <c r="L29" s="111"/>
      <c r="M29" s="18"/>
    </row>
    <row r="30" spans="1:13" ht="15.2" customHeight="1" x14ac:dyDescent="0.25">
      <c r="A30" s="18"/>
      <c r="B30" s="18"/>
      <c r="C30" s="49"/>
      <c r="D30" s="49"/>
      <c r="E30" s="50"/>
      <c r="F30" s="51"/>
      <c r="G30" s="52" t="s">
        <v>6</v>
      </c>
      <c r="H30" s="41"/>
      <c r="I30" s="111" t="str">
        <f>IF(Eingabe!$E$12=0,VLOOKUP(0,Kundeninformation[],3,FALSE),VLOOKUP(Eingabe!$C$5,Kundeninformation[],4,FALSE))</f>
        <v>-</v>
      </c>
      <c r="J30" s="111"/>
      <c r="K30" s="111"/>
      <c r="L30" s="111"/>
      <c r="M30" s="18"/>
    </row>
    <row r="31" spans="1:13" ht="15.2" customHeight="1" x14ac:dyDescent="0.25">
      <c r="A31" s="18"/>
      <c r="B31" s="18"/>
      <c r="C31" s="49"/>
      <c r="D31" s="49"/>
      <c r="E31" s="50"/>
      <c r="F31" s="51"/>
      <c r="G31" s="52" t="s">
        <v>8</v>
      </c>
      <c r="H31" s="41"/>
      <c r="I31" s="111" t="str">
        <f>IF(Eingabe!$E$12=0,VLOOKUP(0,Kundeninformation[],3,FALSE),VLOOKUP(Eingabe!$C$5,Kundeninformation[],5,FALSE))</f>
        <v>-</v>
      </c>
      <c r="J31" s="111"/>
      <c r="K31" s="111"/>
      <c r="L31" s="111"/>
      <c r="M31" s="18"/>
    </row>
    <row r="32" spans="1:13" ht="15.2" customHeight="1" x14ac:dyDescent="0.25">
      <c r="A32" s="18"/>
      <c r="B32" s="18"/>
      <c r="C32" s="49"/>
      <c r="D32" s="49"/>
      <c r="E32" s="50"/>
      <c r="F32" s="51"/>
      <c r="G32" s="52" t="s">
        <v>7</v>
      </c>
      <c r="H32" s="41"/>
      <c r="I32" s="111" t="str">
        <f>IF(Eingabe!$E$12=0,VLOOKUP(0,Kundeninformation[],3,FALSE),VLOOKUP(Eingabe!$C$5,Kundeninformation[],6,FALSE))</f>
        <v>-</v>
      </c>
      <c r="J32" s="111"/>
      <c r="K32" s="111"/>
      <c r="L32" s="111"/>
      <c r="M32" s="18"/>
    </row>
    <row r="33" spans="1:13" ht="15.2" customHeight="1" x14ac:dyDescent="0.25">
      <c r="A33" s="18"/>
      <c r="B33" s="18"/>
      <c r="C33" s="49"/>
      <c r="D33" s="49"/>
      <c r="E33" s="50"/>
      <c r="F33" s="51"/>
      <c r="G33" s="52" t="s">
        <v>9</v>
      </c>
      <c r="H33" s="41"/>
      <c r="I33" s="111" t="str">
        <f>IF(Eingabe!$E$12=0,VLOOKUP(0,Kundeninformation[],3,FALSE),VLOOKUP(Eingabe!$C$5,Kundeninformation[],7,FALSE))</f>
        <v>-</v>
      </c>
      <c r="J33" s="111"/>
      <c r="K33" s="111"/>
      <c r="L33" s="111"/>
      <c r="M33" s="18"/>
    </row>
    <row r="34" spans="1:13" ht="15.2" customHeight="1" x14ac:dyDescent="0.25">
      <c r="A34" s="18"/>
      <c r="B34" s="18"/>
      <c r="C34" s="49"/>
      <c r="D34" s="49"/>
      <c r="E34" s="50"/>
      <c r="F34" s="51"/>
      <c r="G34" s="52" t="s">
        <v>10</v>
      </c>
      <c r="H34" s="41"/>
      <c r="I34" s="168" t="str">
        <f>IF(Eingabe!$E$12=0,VLOOKUP(0,Kundeninformation[],3,FALSE),VLOOKUP(Eingabe!$C$5,Kundeninformation[],8,FALSE))</f>
        <v>-</v>
      </c>
      <c r="J34" s="168"/>
      <c r="K34" s="168"/>
      <c r="L34" s="168"/>
      <c r="M34" s="18"/>
    </row>
    <row r="35" spans="1:13" ht="15.75" x14ac:dyDescent="0.25">
      <c r="A35" s="18"/>
      <c r="B35" s="18"/>
      <c r="C35" s="49"/>
      <c r="D35" s="49"/>
      <c r="E35" s="50"/>
      <c r="F35" s="51"/>
      <c r="G35" s="52"/>
      <c r="H35" s="41"/>
      <c r="I35" s="55"/>
      <c r="J35" s="55"/>
      <c r="K35" s="55"/>
      <c r="L35" s="18"/>
      <c r="M35" s="18"/>
    </row>
    <row r="36" spans="1:13" ht="13.5" customHeight="1" x14ac:dyDescent="0.25">
      <c r="A36" s="18"/>
      <c r="B36" s="18"/>
      <c r="C36" s="49"/>
      <c r="D36" s="49"/>
      <c r="E36" s="50"/>
      <c r="F36" s="51"/>
      <c r="G36" s="56"/>
      <c r="H36" s="55"/>
      <c r="I36" s="55"/>
      <c r="J36" s="55"/>
      <c r="K36" s="55"/>
      <c r="L36" s="18"/>
      <c r="M36" s="18"/>
    </row>
    <row r="37" spans="1:13" ht="19.5" customHeight="1" x14ac:dyDescent="0.25">
      <c r="A37" s="18"/>
      <c r="B37" s="18"/>
      <c r="C37" s="108" t="s">
        <v>11</v>
      </c>
      <c r="D37" s="109"/>
      <c r="E37" s="109"/>
      <c r="F37" s="57" t="s">
        <v>12</v>
      </c>
      <c r="G37" s="99"/>
      <c r="H37" s="99"/>
      <c r="I37" s="100"/>
      <c r="J37" s="93" t="s">
        <v>13</v>
      </c>
      <c r="K37" s="95"/>
      <c r="L37" s="58" t="s">
        <v>14</v>
      </c>
      <c r="M37" s="18"/>
    </row>
    <row r="38" spans="1:13" ht="19.5" customHeight="1" x14ac:dyDescent="0.25">
      <c r="A38" s="18"/>
      <c r="B38" s="18"/>
      <c r="C38" s="93">
        <v>1</v>
      </c>
      <c r="D38" s="94"/>
      <c r="E38" s="95"/>
      <c r="F38" s="59" t="s">
        <v>214</v>
      </c>
      <c r="G38" s="104" t="str">
        <f>IF(ISERROR(VLOOKUP(F38,Leistungsklassen[],3,FALSE)),"",(VLOOKUP(F38,Leistungsklassen[],3,FALSE)))</f>
        <v>pro 2,10 Std. inkl. EP</v>
      </c>
      <c r="H38" s="104"/>
      <c r="I38" s="105"/>
      <c r="J38" s="101">
        <f>IF(ISERROR(VLOOKUP(F38,Leistungsklassen[],2,FALSE)),"",(VLOOKUP(F38,Leistungsklassen[],2,FALSE)))</f>
        <v>68.5</v>
      </c>
      <c r="K38" s="102"/>
      <c r="L38" s="60">
        <f>IF(ISERROR(C38*J38),"",C38*J38)</f>
        <v>68.5</v>
      </c>
      <c r="M38" s="18"/>
    </row>
    <row r="39" spans="1:13" ht="19.5" customHeight="1" x14ac:dyDescent="0.25">
      <c r="A39" s="18"/>
      <c r="B39" s="18"/>
      <c r="C39" s="93">
        <v>1</v>
      </c>
      <c r="D39" s="94"/>
      <c r="E39" s="95"/>
      <c r="F39" s="59" t="s">
        <v>63</v>
      </c>
      <c r="G39" s="104" t="str">
        <f>IF(ISERROR(VLOOKUP(F39,Leistungsklassen[],3,FALSE)),"",(VLOOKUP(F39,Leistungsklassen[],3,FALSE)))</f>
        <v>pro 2,30 Std. inkl. EP</v>
      </c>
      <c r="H39" s="104"/>
      <c r="I39" s="105"/>
      <c r="J39" s="101">
        <f>IF(ISERROR(VLOOKUP(F39,Leistungsklassen[],2,FALSE)),"",(VLOOKUP(F39,Leistungsklassen[],2,FALSE)))</f>
        <v>78.13</v>
      </c>
      <c r="K39" s="102"/>
      <c r="L39" s="60">
        <f t="shared" ref="L39:L42" si="0">IF(ISERROR(C39*J39),"",C39*J39)</f>
        <v>78.13</v>
      </c>
      <c r="M39" s="18"/>
    </row>
    <row r="40" spans="1:13" ht="19.5" customHeight="1" x14ac:dyDescent="0.25">
      <c r="A40" s="18"/>
      <c r="B40" s="18"/>
      <c r="C40" s="93"/>
      <c r="D40" s="94"/>
      <c r="E40" s="95"/>
      <c r="F40" s="59"/>
      <c r="G40" s="104" t="str">
        <f>IF(ISERROR(VLOOKUP(F40,Leistungsklassen[],3,FALSE)),"",(VLOOKUP(F40,Leistungsklassen[],3,FALSE)))</f>
        <v/>
      </c>
      <c r="H40" s="104"/>
      <c r="I40" s="105"/>
      <c r="J40" s="101" t="str">
        <f>IF(ISERROR(VLOOKUP(F40,Leistungsklassen[],2,FALSE)),"",(VLOOKUP(F40,Leistungsklassen[],2,FALSE)))</f>
        <v/>
      </c>
      <c r="K40" s="102"/>
      <c r="L40" s="60" t="str">
        <f t="shared" si="0"/>
        <v/>
      </c>
      <c r="M40" s="18"/>
    </row>
    <row r="41" spans="1:13" ht="19.5" customHeight="1" x14ac:dyDescent="0.25">
      <c r="A41" s="18"/>
      <c r="B41" s="18"/>
      <c r="C41" s="93"/>
      <c r="D41" s="94"/>
      <c r="E41" s="95"/>
      <c r="F41" s="59"/>
      <c r="G41" s="104" t="str">
        <f>IF(ISERROR(VLOOKUP(F41,Leistungsklassen[],3,FALSE)),"",(VLOOKUP(F41,Leistungsklassen[],3,FALSE)))</f>
        <v/>
      </c>
      <c r="H41" s="104"/>
      <c r="I41" s="105"/>
      <c r="J41" s="101" t="str">
        <f>IF(ISERROR(VLOOKUP(F41,Leistungsklassen[],2,FALSE)),"",(VLOOKUP(F41,Leistungsklassen[],2,FALSE)))</f>
        <v/>
      </c>
      <c r="K41" s="102"/>
      <c r="L41" s="60" t="str">
        <f t="shared" si="0"/>
        <v/>
      </c>
      <c r="M41" s="18"/>
    </row>
    <row r="42" spans="1:13" ht="19.5" customHeight="1" x14ac:dyDescent="0.25">
      <c r="A42" s="18"/>
      <c r="B42" s="18"/>
      <c r="C42" s="93"/>
      <c r="D42" s="94"/>
      <c r="E42" s="95"/>
      <c r="F42" s="59"/>
      <c r="G42" s="104" t="str">
        <f>IF(ISERROR(VLOOKUP(F42,Leistungsklassen[],3,FALSE)),"",(VLOOKUP(F42,Leistungsklassen[],3,FALSE)))</f>
        <v/>
      </c>
      <c r="H42" s="104"/>
      <c r="I42" s="105"/>
      <c r="J42" s="101" t="str">
        <f>IF(ISERROR(VLOOKUP(F42,Leistungsklassen[],2,FALSE)),"",(VLOOKUP(F42,Leistungsklassen[],2,FALSE)))</f>
        <v/>
      </c>
      <c r="K42" s="102"/>
      <c r="L42" s="60" t="str">
        <f t="shared" si="0"/>
        <v/>
      </c>
      <c r="M42" s="18"/>
    </row>
    <row r="43" spans="1:13" ht="19.5" customHeight="1" x14ac:dyDescent="0.25">
      <c r="A43" s="18"/>
      <c r="B43" s="18"/>
      <c r="C43" s="93"/>
      <c r="D43" s="94"/>
      <c r="E43" s="95"/>
      <c r="F43" s="59"/>
      <c r="G43" s="104" t="str">
        <f>IF(ISERROR(VLOOKUP(F43,Leistungsklassen[],3,FALSE)),"",(VLOOKUP(F43,Leistungsklassen[],3,FALSE)))</f>
        <v/>
      </c>
      <c r="H43" s="104"/>
      <c r="I43" s="105"/>
      <c r="J43" s="112" t="s">
        <v>16</v>
      </c>
      <c r="K43" s="113"/>
      <c r="L43" s="60">
        <f>IF(SUM(L38:L42)=0,"",SUM(L38:L42))</f>
        <v>146.63</v>
      </c>
      <c r="M43" s="18"/>
    </row>
    <row r="44" spans="1:13" ht="9.75" customHeight="1" x14ac:dyDescent="0.25">
      <c r="A44" s="18"/>
      <c r="B44" s="18"/>
      <c r="C44" s="18"/>
      <c r="D44" s="18"/>
      <c r="E44" s="16"/>
      <c r="F44" s="26"/>
      <c r="G44" s="16"/>
      <c r="H44" s="17"/>
      <c r="I44" s="17"/>
      <c r="J44" s="17"/>
      <c r="K44" s="17"/>
      <c r="L44" s="18"/>
      <c r="M44" s="18"/>
    </row>
    <row r="45" spans="1:13" x14ac:dyDescent="0.25">
      <c r="A45" s="18"/>
      <c r="B45" s="18"/>
      <c r="C45" s="114" t="str">
        <f>IF(ISERROR(VLOOKUP($F38,AKTABELLE[],2,FALSE)),"",(VLOOKUP($F38,AKTABELLE[],2,FALSE)))</f>
        <v>Leistung 2,167</v>
      </c>
      <c r="D45" s="114"/>
      <c r="E45" s="119" t="str">
        <f>IF(ISERROR(VLOOKUP($F38,AKTABELLE[],3,FALSE)),"",(VLOOKUP($F38,AKTABELLE[],3,FALSE)))</f>
        <v>Abrechnung über die Krankenkasse</v>
      </c>
      <c r="F45" s="119"/>
      <c r="G45" s="119"/>
      <c r="H45" s="61">
        <f>IF(ISERROR(VLOOKUP($F38,AKTABELLE[],5,FALSE)),"",(VLOOKUP($F38,AKTABELLE[],5,FALSE)))</f>
        <v>68.5</v>
      </c>
      <c r="I45" s="114" t="str">
        <f>IF(ISERROR(VLOOKUP($F38,AKTABELLE[],6,FALSE)),"",(VLOOKUP($F38,AKTABELLE[],6,FALSE)))</f>
        <v>pro 2,10 Std. inkl. Einsatzpauschale</v>
      </c>
      <c r="J45" s="114"/>
      <c r="K45" s="114"/>
      <c r="L45" s="62" t="str">
        <f>IF(ISERROR(VLOOKUP($F38,AKTABELLE[],4,FALSE)),"",(VLOOKUP($F38,AKTABELLE[],4,FALSE)))</f>
        <v>Alltagshilfe</v>
      </c>
      <c r="M45" s="18"/>
    </row>
    <row r="46" spans="1:13" x14ac:dyDescent="0.25">
      <c r="A46" s="18"/>
      <c r="B46" s="18"/>
      <c r="C46" s="114" t="str">
        <f>IF(ISERROR(VLOOKUP($F39,AKTABELLE[],2,FALSE)),"",(VLOOKUP($F39,AKTABELLE[],2,FALSE)))</f>
        <v>Leistung AK 2,5</v>
      </c>
      <c r="D46" s="114"/>
      <c r="E46" s="119" t="str">
        <f>IF(ISERROR(VLOOKUP($F39,AKTABELLE[],3,FALSE)),"",(VLOOKUP($F39,AKTABELLE[],3,FALSE)))</f>
        <v>Abrechnung über die Krankenkasse</v>
      </c>
      <c r="F46" s="119"/>
      <c r="G46" s="119"/>
      <c r="H46" s="61">
        <f>IF(ISERROR(VLOOKUP($F39,AKTABELLE[],5,FALSE)),"",(VLOOKUP($F39,AKTABELLE[],5,FALSE)))</f>
        <v>78.13</v>
      </c>
      <c r="I46" s="114" t="str">
        <f>IF(ISERROR(VLOOKUP($F39,AKTABELLE[],6,FALSE)),"",(VLOOKUP($F39,AKTABELLE[],6,FALSE)))</f>
        <v>pro 2,30 Std. inkl. Einsatzpauschale</v>
      </c>
      <c r="J46" s="114"/>
      <c r="K46" s="114"/>
      <c r="L46" s="62" t="str">
        <f>IF(ISERROR(VLOOKUP($F39,AKTABELLE[],4,FALSE)),"",(VLOOKUP($F39,AKTABELLE[],4,FALSE)))</f>
        <v>Alltagshilfe</v>
      </c>
      <c r="M46" s="18"/>
    </row>
    <row r="47" spans="1:13" x14ac:dyDescent="0.25">
      <c r="A47" s="27"/>
      <c r="B47" s="27"/>
      <c r="C47" s="114" t="str">
        <f>IF(ISERROR(VLOOKUP($F40,AKTABELLE[],2,FALSE)),"",(VLOOKUP($F40,AKTABELLE[],2,FALSE)))</f>
        <v/>
      </c>
      <c r="D47" s="114"/>
      <c r="E47" s="119" t="str">
        <f>IF(ISERROR(VLOOKUP($F40,AKTABELLE[],3,FALSE)),"",(VLOOKUP($F40,AKTABELLE[],3,FALSE)))</f>
        <v/>
      </c>
      <c r="F47" s="119"/>
      <c r="G47" s="119"/>
      <c r="H47" s="61" t="str">
        <f>IF(ISERROR(VLOOKUP($F40,AKTABELLE[],5,FALSE)),"",(VLOOKUP($F40,AKTABELLE[],5,FALSE)))</f>
        <v/>
      </c>
      <c r="I47" s="114" t="str">
        <f>IF(ISERROR(VLOOKUP($F40,AKTABELLE[],6,FALSE)),"",(VLOOKUP($F40,AKTABELLE[],6,FALSE)))</f>
        <v/>
      </c>
      <c r="J47" s="114"/>
      <c r="K47" s="114"/>
      <c r="L47" s="62" t="str">
        <f>IF(ISERROR(VLOOKUP($F40,AKTABELLE[],4,FALSE)),"",(VLOOKUP($F40,AKTABELLE[],4,FALSE)))</f>
        <v/>
      </c>
      <c r="M47" s="27"/>
    </row>
    <row r="48" spans="1:13" x14ac:dyDescent="0.25">
      <c r="A48" s="18"/>
      <c r="B48" s="18"/>
      <c r="C48" s="114" t="str">
        <f>IF(ISERROR(VLOOKUP($F41,AKTABELLE[],2,FALSE)),"",(VLOOKUP($F41,AKTABELLE[],2,FALSE)))</f>
        <v/>
      </c>
      <c r="D48" s="114"/>
      <c r="E48" s="119" t="str">
        <f>IF(ISERROR(VLOOKUP($F41,AKTABELLE[],3,FALSE)),"",(VLOOKUP($F41,AKTABELLE[],3,FALSE)))</f>
        <v/>
      </c>
      <c r="F48" s="119"/>
      <c r="G48" s="119"/>
      <c r="H48" s="61" t="str">
        <f>IF(ISERROR(VLOOKUP($F41,AKTABELLE[],5,FALSE)),"",(VLOOKUP($F41,AKTABELLE[],5,FALSE)))</f>
        <v/>
      </c>
      <c r="I48" s="115" t="str">
        <f>IF(ISERROR(VLOOKUP($F41,AKTABELLE[],6,FALSE)),"",(VLOOKUP($F41,AKTABELLE[],6,FALSE)))</f>
        <v/>
      </c>
      <c r="J48" s="115"/>
      <c r="K48" s="115"/>
      <c r="L48" s="62" t="str">
        <f>IF(ISERROR(VLOOKUP($F41,AKTABELLE[],4,FALSE)),"",(VLOOKUP($F41,AKTABELLE[],4,FALSE)))</f>
        <v/>
      </c>
      <c r="M48" s="18"/>
    </row>
    <row r="49" spans="1:13" x14ac:dyDescent="0.25">
      <c r="A49" s="18"/>
      <c r="B49" s="18"/>
      <c r="C49" s="114" t="str">
        <f>IF(ISERROR(VLOOKUP($F42,AKTABELLE[],2,FALSE)),"",(VLOOKUP($F42,AKTABELLE[],2,FALSE)))</f>
        <v/>
      </c>
      <c r="D49" s="114"/>
      <c r="E49" s="119" t="str">
        <f>IF(ISERROR(VLOOKUP($F42,AKTABELLE[],3,FALSE)),"",(VLOOKUP($F42,AKTABELLE[],3,FALSE)))</f>
        <v/>
      </c>
      <c r="F49" s="119"/>
      <c r="G49" s="119"/>
      <c r="H49" s="61" t="str">
        <f>IF(ISERROR(VLOOKUP($F42,AKTABELLE[],5,FALSE)),"",(VLOOKUP($F42,AKTABELLE[],5,FALSE)))</f>
        <v/>
      </c>
      <c r="I49" s="115" t="str">
        <f>IF(ISERROR(VLOOKUP($F42,AKTABELLE[],6,FALSE)),"",(VLOOKUP($F42,AKTABELLE[],6,FALSE)))</f>
        <v/>
      </c>
      <c r="J49" s="115"/>
      <c r="K49" s="115"/>
      <c r="L49" s="62" t="str">
        <f>IF(ISERROR(VLOOKUP($F42,AKTABELLE[],4,FALSE)),"",(VLOOKUP($F42,AKTABELLE[],4,FALSE)))</f>
        <v/>
      </c>
      <c r="M49" s="18"/>
    </row>
    <row r="50" spans="1:13" ht="5.25" customHeight="1" x14ac:dyDescent="0.25">
      <c r="A50" s="18"/>
      <c r="B50" s="18"/>
      <c r="C50" s="27"/>
      <c r="D50" s="27"/>
      <c r="E50" s="56"/>
      <c r="F50" s="63"/>
      <c r="G50" s="56"/>
      <c r="H50" s="41"/>
      <c r="I50" s="41"/>
      <c r="J50" s="41"/>
      <c r="K50" s="41"/>
      <c r="L50" s="27"/>
      <c r="M50" s="18"/>
    </row>
    <row r="51" spans="1:13" ht="8.25" customHeight="1" x14ac:dyDescent="0.25">
      <c r="A51" s="18"/>
      <c r="B51" s="18"/>
      <c r="C51" s="27"/>
      <c r="D51" s="27"/>
      <c r="E51" s="56"/>
      <c r="F51" s="63"/>
      <c r="G51" s="56"/>
      <c r="H51" s="41"/>
      <c r="I51" s="41"/>
      <c r="J51" s="41"/>
      <c r="K51" s="41"/>
      <c r="L51" s="27"/>
      <c r="M51" s="18"/>
    </row>
    <row r="52" spans="1:13" x14ac:dyDescent="0.25">
      <c r="A52" s="18"/>
      <c r="B52" s="115" t="s">
        <v>15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8"/>
    </row>
    <row r="53" spans="1:13" ht="10.5" customHeight="1" x14ac:dyDescent="0.25">
      <c r="A53" s="18"/>
      <c r="B53" s="18"/>
      <c r="C53" s="18"/>
      <c r="D53" s="64"/>
      <c r="E53" s="56"/>
      <c r="F53" s="63"/>
      <c r="G53" s="56"/>
      <c r="H53" s="41"/>
      <c r="I53" s="41"/>
      <c r="J53" s="41"/>
      <c r="K53" s="41"/>
      <c r="L53" s="27"/>
      <c r="M53" s="18"/>
    </row>
    <row r="54" spans="1:13" ht="10.5" customHeight="1" x14ac:dyDescent="0.25">
      <c r="A54" s="62"/>
      <c r="B54" s="65"/>
      <c r="C54" s="65"/>
      <c r="D54" s="66"/>
      <c r="E54" s="67"/>
      <c r="F54" s="68"/>
      <c r="G54" s="67"/>
      <c r="H54" s="69"/>
      <c r="I54" s="69"/>
      <c r="J54" s="69"/>
      <c r="K54" s="69"/>
      <c r="L54" s="70"/>
      <c r="M54" s="18"/>
    </row>
    <row r="55" spans="1:13" x14ac:dyDescent="0.25">
      <c r="A55" s="27"/>
      <c r="B55" s="106" t="s">
        <v>291</v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</row>
    <row r="56" spans="1:13" x14ac:dyDescent="0.25">
      <c r="A56" s="27"/>
      <c r="B56" s="106" t="s">
        <v>292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</row>
    <row r="57" spans="1:13" x14ac:dyDescent="0.25">
      <c r="A57" s="27"/>
      <c r="B57" s="106" t="s">
        <v>293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</row>
    <row r="58" spans="1:13" x14ac:dyDescent="0.25">
      <c r="A58" s="27"/>
      <c r="B58" s="107" t="s">
        <v>294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</row>
    <row r="59" spans="1:13" x14ac:dyDescent="0.25">
      <c r="A59" s="27"/>
      <c r="B59" s="27"/>
      <c r="C59" s="27"/>
      <c r="D59" s="27"/>
      <c r="E59" s="56"/>
      <c r="F59" s="63"/>
      <c r="G59" s="56"/>
      <c r="H59" s="41"/>
      <c r="I59" s="41"/>
      <c r="J59" s="41"/>
      <c r="K59" s="41"/>
      <c r="L59" s="27"/>
      <c r="M59" s="27"/>
    </row>
    <row r="60" spans="1:13" x14ac:dyDescent="0.25">
      <c r="A60" s="27"/>
      <c r="B60" s="27"/>
      <c r="C60" s="27"/>
      <c r="D60" s="27"/>
      <c r="E60" s="56"/>
      <c r="F60" s="63"/>
      <c r="G60" s="56"/>
      <c r="H60" s="41"/>
      <c r="I60" s="41"/>
      <c r="J60" s="41"/>
      <c r="K60" s="41"/>
      <c r="L60" s="27"/>
      <c r="M60" s="27"/>
    </row>
    <row r="61" spans="1:13" x14ac:dyDescent="0.25">
      <c r="A61" s="27"/>
      <c r="B61" s="27"/>
      <c r="C61" s="27"/>
      <c r="D61" s="27"/>
      <c r="E61" s="56"/>
      <c r="F61" s="63"/>
      <c r="G61" s="56"/>
      <c r="H61" s="41"/>
      <c r="I61" s="41"/>
      <c r="J61" s="41"/>
      <c r="K61" s="41"/>
      <c r="L61" s="27"/>
      <c r="M61" s="27"/>
    </row>
  </sheetData>
  <mergeCells count="56">
    <mergeCell ref="G40:I40"/>
    <mergeCell ref="G25:I25"/>
    <mergeCell ref="E49:G49"/>
    <mergeCell ref="I49:K49"/>
    <mergeCell ref="E45:G45"/>
    <mergeCell ref="E46:G46"/>
    <mergeCell ref="I46:K46"/>
    <mergeCell ref="E47:G47"/>
    <mergeCell ref="I47:K47"/>
    <mergeCell ref="E48:G48"/>
    <mergeCell ref="I48:K48"/>
    <mergeCell ref="J40:K40"/>
    <mergeCell ref="J41:K41"/>
    <mergeCell ref="J42:K42"/>
    <mergeCell ref="C40:E40"/>
    <mergeCell ref="J39:K39"/>
    <mergeCell ref="B56:M56"/>
    <mergeCell ref="C41:E41"/>
    <mergeCell ref="C42:E42"/>
    <mergeCell ref="J43:K43"/>
    <mergeCell ref="C45:D45"/>
    <mergeCell ref="C46:D46"/>
    <mergeCell ref="C47:D47"/>
    <mergeCell ref="C48:D48"/>
    <mergeCell ref="C49:D49"/>
    <mergeCell ref="B52:L52"/>
    <mergeCell ref="I45:K45"/>
    <mergeCell ref="B57:M57"/>
    <mergeCell ref="B58:M58"/>
    <mergeCell ref="K6:L6"/>
    <mergeCell ref="K7:L7"/>
    <mergeCell ref="C37:E37"/>
    <mergeCell ref="I34:L34"/>
    <mergeCell ref="I29:L29"/>
    <mergeCell ref="I30:L30"/>
    <mergeCell ref="I31:L31"/>
    <mergeCell ref="I32:L32"/>
    <mergeCell ref="I33:L33"/>
    <mergeCell ref="C43:E43"/>
    <mergeCell ref="G41:I41"/>
    <mergeCell ref="G42:I42"/>
    <mergeCell ref="G43:I43"/>
    <mergeCell ref="B55:M55"/>
    <mergeCell ref="C39:E39"/>
    <mergeCell ref="K1:L1"/>
    <mergeCell ref="K2:L2"/>
    <mergeCell ref="K3:L3"/>
    <mergeCell ref="K4:L4"/>
    <mergeCell ref="K5:L5"/>
    <mergeCell ref="J37:K37"/>
    <mergeCell ref="G37:I37"/>
    <mergeCell ref="C38:E38"/>
    <mergeCell ref="J38:K38"/>
    <mergeCell ref="C21:G21"/>
    <mergeCell ref="G38:I38"/>
    <mergeCell ref="G39:I39"/>
  </mergeCells>
  <phoneticPr fontId="7" type="noConversion"/>
  <conditionalFormatting sqref="C21:G21">
    <cfRule type="containsText" dxfId="1" priority="1" operator="containsText" text="Rechnung - Privat">
      <formula>NOT(ISERROR(SEARCH("Rechnung - Privat",C21)))</formula>
    </cfRule>
    <cfRule type="containsText" dxfId="0" priority="2" operator="containsText" text="Rechnung - Verhinderungspflege">
      <formula>NOT(ISERROR(SEARCH("Rechnung - Verhinderungspflege",C21)))</formula>
    </cfRule>
  </conditionalFormatting>
  <pageMargins left="0.23622047244094491" right="0.23622047244094491" top="0" bottom="0" header="0.31496062992125984" footer="0.31496062992125984"/>
  <pageSetup paperSize="9" orientation="portrait" horizontalDpi="4294967293" r:id="rId1"/>
  <customProperties>
    <customPr name="OrphanNamesChecke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F4B7-BDA2-444A-96D8-AA2BCB0C90AC}">
  <sheetPr codeName="Tabelle3"/>
  <dimension ref="A1:P42"/>
  <sheetViews>
    <sheetView view="pageLayout" zoomScale="115" zoomScaleNormal="100" zoomScalePageLayoutView="115" workbookViewId="0">
      <selection activeCell="C6" sqref="C6:D6"/>
    </sheetView>
  </sheetViews>
  <sheetFormatPr baseColWidth="10" defaultColWidth="11.42578125" defaultRowHeight="14.25" x14ac:dyDescent="0.2"/>
  <cols>
    <col min="1" max="1" width="5.85546875" style="2" customWidth="1"/>
    <col min="2" max="2" width="5.140625" style="2" customWidth="1"/>
    <col min="3" max="3" width="3.28515625" style="2" customWidth="1"/>
    <col min="4" max="4" width="6" style="2" customWidth="1"/>
    <col min="5" max="5" width="12.28515625" style="2" customWidth="1"/>
    <col min="6" max="6" width="3.7109375" style="2" customWidth="1"/>
    <col min="7" max="7" width="3.5703125" style="2" customWidth="1"/>
    <col min="8" max="8" width="5.5703125" style="2" customWidth="1"/>
    <col min="9" max="9" width="1.7109375" style="2" customWidth="1"/>
    <col min="10" max="10" width="2.7109375" style="2" customWidth="1"/>
    <col min="11" max="11" width="4.42578125" style="2" customWidth="1"/>
    <col min="12" max="12" width="3.5703125" style="2" customWidth="1"/>
    <col min="13" max="13" width="8.140625" style="2" customWidth="1"/>
    <col min="14" max="14" width="8.7109375" style="2" customWidth="1"/>
    <col min="15" max="15" width="3.140625" style="2" customWidth="1"/>
    <col min="16" max="16" width="8.42578125" style="2" customWidth="1"/>
    <col min="17" max="16384" width="11.42578125" style="2"/>
  </cols>
  <sheetData>
    <row r="1" spans="1:16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71"/>
      <c r="N1" s="71"/>
      <c r="O1" s="71"/>
      <c r="P1" s="71"/>
    </row>
    <row r="2" spans="1:16" ht="15" x14ac:dyDescent="0.25">
      <c r="A2" s="18" t="str">
        <f>IF(Eingabe!$E$5=TRUE,"Leistungsnachweis Verhinderungspflege für: ", "Leistungsnachweis Alltagshilfe für:")</f>
        <v xml:space="preserve">Leistungsnachweis Verhinderungspflege für: </v>
      </c>
      <c r="B2" s="18"/>
      <c r="C2" s="18"/>
      <c r="D2" s="18"/>
      <c r="E2" s="18"/>
      <c r="F2" s="18"/>
      <c r="G2" s="18"/>
      <c r="H2" s="120">
        <f ca="1">Rechnung!I24+1</f>
        <v>46174</v>
      </c>
      <c r="I2" s="120"/>
      <c r="J2" s="120"/>
      <c r="K2" s="120"/>
      <c r="L2" s="120"/>
      <c r="M2" s="71"/>
      <c r="N2" s="71" t="s">
        <v>296</v>
      </c>
      <c r="O2" s="71"/>
      <c r="P2" s="71"/>
    </row>
    <row r="3" spans="1:16" x14ac:dyDescent="0.2">
      <c r="A3" s="18" t="s">
        <v>2</v>
      </c>
      <c r="B3" s="18"/>
      <c r="C3" s="18"/>
      <c r="D3" s="18"/>
      <c r="E3" s="121"/>
      <c r="F3" s="121"/>
      <c r="G3" s="121"/>
      <c r="H3" s="121"/>
      <c r="I3" s="18"/>
      <c r="J3" s="18"/>
      <c r="K3" s="18"/>
      <c r="L3" s="18"/>
      <c r="M3" s="71"/>
      <c r="N3" s="71"/>
      <c r="O3" s="71"/>
      <c r="P3" s="71"/>
    </row>
    <row r="4" spans="1:16" ht="1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62"/>
      <c r="P4" s="62"/>
    </row>
    <row r="5" spans="1:16" x14ac:dyDescent="0.2">
      <c r="A5" s="122" t="s">
        <v>195</v>
      </c>
      <c r="B5" s="122"/>
      <c r="C5" s="122"/>
      <c r="D5" s="110" t="str">
        <f xml:space="preserve"> Rechnung!I29 &amp; " - " &amp; Rechnung!I30</f>
        <v>- - -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</row>
    <row r="6" spans="1:16" x14ac:dyDescent="0.2">
      <c r="A6" s="122" t="s">
        <v>196</v>
      </c>
      <c r="B6" s="122"/>
      <c r="C6" s="111" t="str">
        <f>Rechnung!I31</f>
        <v>-</v>
      </c>
      <c r="D6" s="111"/>
      <c r="E6" s="73" t="s">
        <v>194</v>
      </c>
      <c r="F6" s="74" t="str">
        <f>Rechnung!I32</f>
        <v>-</v>
      </c>
      <c r="G6" s="74"/>
      <c r="H6" s="74"/>
      <c r="I6" s="18"/>
      <c r="J6" s="75" t="s">
        <v>9</v>
      </c>
      <c r="K6" s="18"/>
      <c r="L6" s="53" t="str">
        <f>Rechnung!I33</f>
        <v>-</v>
      </c>
      <c r="M6" s="75"/>
      <c r="N6" s="75" t="s">
        <v>10</v>
      </c>
      <c r="O6" s="54" t="str">
        <f>Rechnung!I34</f>
        <v>-</v>
      </c>
      <c r="P6" s="75"/>
    </row>
    <row r="7" spans="1:16" ht="10.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ht="29.1" customHeight="1" x14ac:dyDescent="0.2">
      <c r="A8" s="76" t="s">
        <v>197</v>
      </c>
      <c r="B8" s="123" t="s">
        <v>198</v>
      </c>
      <c r="C8" s="124"/>
      <c r="D8" s="77"/>
      <c r="E8" s="125" t="s">
        <v>199</v>
      </c>
      <c r="F8" s="126"/>
      <c r="G8" s="127" t="s">
        <v>200</v>
      </c>
      <c r="H8" s="128"/>
      <c r="I8" s="130" t="s">
        <v>201</v>
      </c>
      <c r="J8" s="131"/>
      <c r="K8" s="131"/>
      <c r="L8" s="132"/>
      <c r="M8" s="123" t="s">
        <v>202</v>
      </c>
      <c r="N8" s="124"/>
      <c r="O8" s="124"/>
      <c r="P8" s="129"/>
    </row>
    <row r="9" spans="1:16" ht="25.5" customHeight="1" x14ac:dyDescent="0.2">
      <c r="A9" s="19"/>
      <c r="B9" s="19"/>
      <c r="C9" s="18"/>
      <c r="D9" s="18"/>
      <c r="E9" s="78"/>
      <c r="F9" s="79"/>
      <c r="G9" s="80"/>
      <c r="H9" s="81"/>
      <c r="I9" s="19"/>
      <c r="J9" s="18"/>
      <c r="K9" s="18"/>
      <c r="L9" s="82"/>
      <c r="M9" s="18"/>
      <c r="N9" s="18"/>
      <c r="O9" s="18"/>
      <c r="P9" s="82"/>
    </row>
    <row r="10" spans="1:16" ht="25.5" customHeight="1" x14ac:dyDescent="0.2">
      <c r="A10" s="83"/>
      <c r="B10" s="83"/>
      <c r="C10" s="84"/>
      <c r="D10" s="84"/>
      <c r="E10" s="83"/>
      <c r="F10" s="85"/>
      <c r="G10" s="84"/>
      <c r="H10" s="85"/>
      <c r="I10" s="83"/>
      <c r="J10" s="84"/>
      <c r="K10" s="86"/>
      <c r="L10" s="85"/>
      <c r="M10" s="84"/>
      <c r="N10" s="84"/>
      <c r="O10" s="84"/>
      <c r="P10" s="85"/>
    </row>
    <row r="11" spans="1:16" ht="25.5" customHeight="1" x14ac:dyDescent="0.2">
      <c r="A11" s="19"/>
      <c r="B11" s="19"/>
      <c r="C11" s="18"/>
      <c r="D11" s="18"/>
      <c r="E11" s="19"/>
      <c r="F11" s="82"/>
      <c r="G11" s="18"/>
      <c r="H11" s="82"/>
      <c r="I11" s="19"/>
      <c r="J11" s="18"/>
      <c r="K11" s="18"/>
      <c r="L11" s="82"/>
      <c r="M11" s="18"/>
      <c r="N11" s="18"/>
      <c r="O11" s="18"/>
      <c r="P11" s="82"/>
    </row>
    <row r="12" spans="1:16" ht="25.5" customHeight="1" x14ac:dyDescent="0.2">
      <c r="A12" s="83"/>
      <c r="B12" s="83"/>
      <c r="C12" s="84"/>
      <c r="D12" s="84"/>
      <c r="E12" s="83"/>
      <c r="F12" s="85"/>
      <c r="G12" s="84"/>
      <c r="H12" s="85"/>
      <c r="I12" s="83"/>
      <c r="J12" s="84"/>
      <c r="K12" s="84"/>
      <c r="L12" s="85"/>
      <c r="M12" s="84"/>
      <c r="N12" s="84"/>
      <c r="O12" s="84"/>
      <c r="P12" s="85"/>
    </row>
    <row r="13" spans="1:16" ht="25.5" customHeight="1" x14ac:dyDescent="0.2">
      <c r="A13" s="19"/>
      <c r="B13" s="19"/>
      <c r="C13" s="18"/>
      <c r="D13" s="18"/>
      <c r="E13" s="19"/>
      <c r="F13" s="82"/>
      <c r="G13" s="18"/>
      <c r="H13" s="82"/>
      <c r="I13" s="19"/>
      <c r="J13" s="18"/>
      <c r="K13" s="18"/>
      <c r="L13" s="82"/>
      <c r="M13" s="18"/>
      <c r="N13" s="18"/>
      <c r="O13" s="18"/>
      <c r="P13" s="82"/>
    </row>
    <row r="14" spans="1:16" ht="25.5" customHeight="1" x14ac:dyDescent="0.2">
      <c r="A14" s="83"/>
      <c r="B14" s="83"/>
      <c r="C14" s="84"/>
      <c r="D14" s="84"/>
      <c r="E14" s="83"/>
      <c r="F14" s="85"/>
      <c r="G14" s="84"/>
      <c r="H14" s="85"/>
      <c r="I14" s="83"/>
      <c r="J14" s="84"/>
      <c r="K14" s="84"/>
      <c r="L14" s="85"/>
      <c r="M14" s="84"/>
      <c r="N14" s="84"/>
      <c r="O14" s="84"/>
      <c r="P14" s="85"/>
    </row>
    <row r="15" spans="1:16" ht="25.5" customHeight="1" x14ac:dyDescent="0.2">
      <c r="A15" s="19"/>
      <c r="B15" s="19"/>
      <c r="C15" s="18"/>
      <c r="D15" s="18"/>
      <c r="E15" s="19"/>
      <c r="F15" s="82"/>
      <c r="G15" s="18"/>
      <c r="H15" s="82"/>
      <c r="I15" s="19"/>
      <c r="J15" s="18"/>
      <c r="K15" s="18"/>
      <c r="L15" s="82"/>
      <c r="M15" s="18"/>
      <c r="N15" s="18"/>
      <c r="O15" s="18"/>
      <c r="P15" s="82"/>
    </row>
    <row r="16" spans="1:16" ht="25.5" customHeight="1" x14ac:dyDescent="0.2">
      <c r="A16" s="83"/>
      <c r="B16" s="83"/>
      <c r="C16" s="84"/>
      <c r="D16" s="84"/>
      <c r="E16" s="83"/>
      <c r="F16" s="85"/>
      <c r="G16" s="84"/>
      <c r="H16" s="85"/>
      <c r="I16" s="83"/>
      <c r="J16" s="84"/>
      <c r="K16" s="84"/>
      <c r="L16" s="85"/>
      <c r="M16" s="84"/>
      <c r="N16" s="84"/>
      <c r="O16" s="84"/>
      <c r="P16" s="85"/>
    </row>
    <row r="17" spans="1:16" ht="25.5" customHeight="1" x14ac:dyDescent="0.2">
      <c r="A17" s="19"/>
      <c r="B17" s="19"/>
      <c r="C17" s="18"/>
      <c r="D17" s="18"/>
      <c r="E17" s="19"/>
      <c r="F17" s="82"/>
      <c r="G17" s="18"/>
      <c r="H17" s="82"/>
      <c r="I17" s="19"/>
      <c r="J17" s="18"/>
      <c r="K17" s="18"/>
      <c r="L17" s="82"/>
      <c r="M17" s="18"/>
      <c r="N17" s="18"/>
      <c r="O17" s="18"/>
      <c r="P17" s="82"/>
    </row>
    <row r="18" spans="1:16" ht="25.5" customHeight="1" x14ac:dyDescent="0.2">
      <c r="A18" s="83"/>
      <c r="B18" s="83"/>
      <c r="C18" s="84"/>
      <c r="D18" s="84"/>
      <c r="E18" s="83"/>
      <c r="F18" s="85"/>
      <c r="G18" s="84"/>
      <c r="H18" s="85"/>
      <c r="I18" s="83"/>
      <c r="J18" s="84"/>
      <c r="K18" s="84"/>
      <c r="L18" s="85"/>
      <c r="M18" s="84"/>
      <c r="N18" s="84"/>
      <c r="O18" s="84"/>
      <c r="P18" s="85"/>
    </row>
    <row r="19" spans="1:16" ht="25.5" customHeight="1" x14ac:dyDescent="0.2">
      <c r="A19" s="19"/>
      <c r="B19" s="19"/>
      <c r="C19" s="18"/>
      <c r="D19" s="18"/>
      <c r="E19" s="19"/>
      <c r="F19" s="82"/>
      <c r="G19" s="18"/>
      <c r="H19" s="82"/>
      <c r="I19" s="19"/>
      <c r="J19" s="18"/>
      <c r="K19" s="18"/>
      <c r="L19" s="82"/>
      <c r="M19" s="18"/>
      <c r="N19" s="18"/>
      <c r="O19" s="18"/>
      <c r="P19" s="82"/>
    </row>
    <row r="20" spans="1:16" ht="25.5" customHeight="1" x14ac:dyDescent="0.2">
      <c r="A20" s="83"/>
      <c r="B20" s="83"/>
      <c r="C20" s="84"/>
      <c r="D20" s="84"/>
      <c r="E20" s="83"/>
      <c r="F20" s="85"/>
      <c r="G20" s="84"/>
      <c r="H20" s="85"/>
      <c r="I20" s="83"/>
      <c r="J20" s="84"/>
      <c r="K20" s="84"/>
      <c r="L20" s="85"/>
      <c r="M20" s="84"/>
      <c r="N20" s="84"/>
      <c r="O20" s="84"/>
      <c r="P20" s="85"/>
    </row>
    <row r="21" spans="1:16" ht="25.5" customHeight="1" x14ac:dyDescent="0.2">
      <c r="A21" s="19"/>
      <c r="B21" s="19"/>
      <c r="C21" s="18"/>
      <c r="D21" s="18"/>
      <c r="E21" s="19"/>
      <c r="F21" s="82"/>
      <c r="G21" s="18"/>
      <c r="H21" s="82"/>
      <c r="I21" s="19"/>
      <c r="J21" s="18"/>
      <c r="K21" s="18"/>
      <c r="L21" s="82"/>
      <c r="M21" s="18"/>
      <c r="N21" s="18"/>
      <c r="O21" s="18"/>
      <c r="P21" s="82"/>
    </row>
    <row r="22" spans="1:16" ht="25.5" customHeight="1" x14ac:dyDescent="0.2">
      <c r="A22" s="83"/>
      <c r="B22" s="83"/>
      <c r="C22" s="84"/>
      <c r="D22" s="84"/>
      <c r="E22" s="83"/>
      <c r="F22" s="85"/>
      <c r="G22" s="84"/>
      <c r="H22" s="85"/>
      <c r="I22" s="83"/>
      <c r="J22" s="84"/>
      <c r="K22" s="84"/>
      <c r="L22" s="85"/>
      <c r="M22" s="84"/>
      <c r="N22" s="84"/>
      <c r="O22" s="84"/>
      <c r="P22" s="85"/>
    </row>
    <row r="23" spans="1:16" ht="25.5" customHeight="1" x14ac:dyDescent="0.2">
      <c r="A23" s="83"/>
      <c r="B23" s="83"/>
      <c r="C23" s="84"/>
      <c r="D23" s="84"/>
      <c r="E23" s="21"/>
      <c r="F23" s="87"/>
      <c r="G23" s="84"/>
      <c r="H23" s="85"/>
      <c r="I23" s="83"/>
      <c r="J23" s="84"/>
      <c r="K23" s="84"/>
      <c r="L23" s="85"/>
      <c r="M23" s="84"/>
      <c r="N23" s="84"/>
      <c r="O23" s="84"/>
      <c r="P23" s="85"/>
    </row>
    <row r="24" spans="1:16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96" t="s">
        <v>203</v>
      </c>
      <c r="N25" s="96"/>
      <c r="O25" s="22"/>
      <c r="P25" s="22"/>
    </row>
    <row r="26" spans="1:16" ht="10.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/>
      <c r="N26" s="17"/>
      <c r="O26" s="17"/>
      <c r="P26" s="18"/>
    </row>
    <row r="27" spans="1:16" x14ac:dyDescent="0.2">
      <c r="A27" s="133" t="s">
        <v>206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16" x14ac:dyDescent="0.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  <row r="29" spans="1:16" ht="12" customHeight="1" x14ac:dyDescent="0.2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</row>
    <row r="30" spans="1:16" ht="9.9499999999999993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11.25" customHeight="1" x14ac:dyDescent="0.2">
      <c r="A31" s="75" t="s">
        <v>205</v>
      </c>
      <c r="B31" s="75"/>
      <c r="C31" s="75"/>
      <c r="D31" s="88"/>
      <c r="E31" s="89"/>
      <c r="F31" s="89"/>
      <c r="G31" s="90"/>
      <c r="H31" s="91"/>
      <c r="I31" s="91"/>
      <c r="J31" s="91"/>
      <c r="K31" s="88"/>
      <c r="L31" s="75"/>
      <c r="M31" s="18"/>
      <c r="N31" s="18"/>
      <c r="O31" s="18"/>
      <c r="P31" s="18"/>
    </row>
    <row r="32" spans="1:16" x14ac:dyDescent="0.2">
      <c r="A32" s="6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6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15" x14ac:dyDescent="0.25">
      <c r="A34" s="92"/>
      <c r="B34" s="22"/>
      <c r="C34" s="22"/>
      <c r="D34" s="22"/>
      <c r="E34" s="22"/>
      <c r="F34" s="18"/>
      <c r="G34" s="18"/>
      <c r="H34" s="18"/>
      <c r="I34" s="18"/>
      <c r="J34" s="18"/>
      <c r="K34" s="18"/>
      <c r="L34" s="22"/>
      <c r="M34" s="22"/>
      <c r="N34" s="22"/>
      <c r="O34" s="22"/>
      <c r="P34" s="22"/>
    </row>
    <row r="35" spans="1:16" ht="15" x14ac:dyDescent="0.25">
      <c r="A35" s="27" t="s">
        <v>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 t="s">
        <v>204</v>
      </c>
      <c r="M35" s="18"/>
      <c r="N35" s="18"/>
      <c r="O35" s="18"/>
      <c r="P35" s="18"/>
    </row>
    <row r="36" spans="1:16" ht="15" x14ac:dyDescent="0.25">
      <c r="A36" s="2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10.5" customHeight="1" x14ac:dyDescent="0.25">
      <c r="A37" s="65"/>
      <c r="B37" s="65"/>
      <c r="C37" s="66"/>
      <c r="D37" s="67"/>
      <c r="E37" s="67"/>
      <c r="F37" s="67"/>
      <c r="G37" s="69"/>
      <c r="H37" s="69"/>
      <c r="I37" s="69"/>
      <c r="J37" s="70"/>
      <c r="K37" s="70"/>
      <c r="L37" s="70"/>
      <c r="M37" s="70"/>
      <c r="N37" s="70"/>
      <c r="O37" s="70"/>
      <c r="P37" s="70"/>
    </row>
    <row r="38" spans="1:16" x14ac:dyDescent="0.2">
      <c r="A38" s="106" t="s">
        <v>291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</row>
    <row r="39" spans="1:16" x14ac:dyDescent="0.2">
      <c r="A39" s="106" t="s">
        <v>292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</row>
    <row r="40" spans="1:16" x14ac:dyDescent="0.2">
      <c r="A40" s="106" t="s">
        <v>293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</row>
    <row r="41" spans="1:16" x14ac:dyDescent="0.2">
      <c r="A41" s="107" t="s">
        <v>294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</row>
    <row r="42" spans="1:16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</sheetData>
  <mergeCells count="17">
    <mergeCell ref="M25:N25"/>
    <mergeCell ref="A40:P40"/>
    <mergeCell ref="A41:P41"/>
    <mergeCell ref="A27:P29"/>
    <mergeCell ref="A38:P38"/>
    <mergeCell ref="A39:P39"/>
    <mergeCell ref="H2:L2"/>
    <mergeCell ref="E3:H3"/>
    <mergeCell ref="A5:C5"/>
    <mergeCell ref="B8:C8"/>
    <mergeCell ref="C6:D6"/>
    <mergeCell ref="A6:B6"/>
    <mergeCell ref="E8:F8"/>
    <mergeCell ref="G8:H8"/>
    <mergeCell ref="D5:P5"/>
    <mergeCell ref="M8:P8"/>
    <mergeCell ref="I8:L8"/>
  </mergeCells>
  <pageMargins left="0.70866141732283472" right="0.70866141732283472" top="0.39370078740157483" bottom="0.39370078740157483" header="0.31496062992125984" footer="0.31496062992125984"/>
  <pageSetup paperSize="9" orientation="portrait" horizontalDpi="4294967293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8545-9123-4A06-BD3F-F574DA0E0563}">
  <sheetPr codeName="Tabelle1"/>
  <dimension ref="B2:K19"/>
  <sheetViews>
    <sheetView zoomScale="85" zoomScaleNormal="85" workbookViewId="0">
      <selection activeCell="C32" sqref="C32"/>
    </sheetView>
  </sheetViews>
  <sheetFormatPr baseColWidth="10" defaultRowHeight="15" x14ac:dyDescent="0.25"/>
  <cols>
    <col min="2" max="2" width="22.140625" bestFit="1" customWidth="1"/>
    <col min="3" max="3" width="38.7109375" customWidth="1"/>
    <col min="4" max="4" width="15.28515625" customWidth="1"/>
    <col min="5" max="5" width="15.140625" customWidth="1"/>
    <col min="6" max="6" width="22.28515625" customWidth="1"/>
    <col min="7" max="7" width="12.28515625" customWidth="1"/>
    <col min="10" max="10" width="17" bestFit="1" customWidth="1"/>
    <col min="11" max="11" width="22.140625" customWidth="1"/>
    <col min="12" max="12" width="28.42578125" bestFit="1" customWidth="1"/>
    <col min="13" max="13" width="20.140625" customWidth="1"/>
    <col min="14" max="14" width="21.5703125" customWidth="1"/>
    <col min="19" max="19" width="27.140625" bestFit="1" customWidth="1"/>
    <col min="20" max="20" width="34.140625" bestFit="1" customWidth="1"/>
  </cols>
  <sheetData>
    <row r="2" spans="2:11" ht="18.75" x14ac:dyDescent="0.3">
      <c r="B2" s="135" t="s">
        <v>50</v>
      </c>
      <c r="C2" s="136"/>
      <c r="D2" s="136"/>
      <c r="E2" s="136"/>
      <c r="F2" s="136"/>
      <c r="G2" s="136"/>
      <c r="H2" s="136"/>
      <c r="I2" s="136"/>
      <c r="K2" s="8"/>
    </row>
    <row r="3" spans="2:11" x14ac:dyDescent="0.25">
      <c r="B3" s="136"/>
      <c r="C3" s="136"/>
      <c r="D3" s="136"/>
      <c r="E3" s="136"/>
      <c r="F3" s="136"/>
      <c r="G3" s="136"/>
      <c r="H3" s="136"/>
      <c r="I3" s="136"/>
    </row>
    <row r="4" spans="2:11" ht="15.75" thickBot="1" x14ac:dyDescent="0.3">
      <c r="B4" s="136"/>
      <c r="C4" s="136"/>
      <c r="D4" s="136"/>
      <c r="E4" s="136"/>
      <c r="F4" s="136"/>
      <c r="G4" s="136"/>
      <c r="H4" s="136"/>
      <c r="I4" s="136"/>
    </row>
    <row r="5" spans="2:11" ht="15.75" thickBot="1" x14ac:dyDescent="0.3">
      <c r="B5" s="137" t="s">
        <v>26</v>
      </c>
      <c r="C5" s="138">
        <v>1</v>
      </c>
      <c r="D5" s="136"/>
      <c r="E5" s="139" t="b">
        <v>1</v>
      </c>
      <c r="F5" s="140" t="s">
        <v>51</v>
      </c>
      <c r="G5" s="141">
        <v>40</v>
      </c>
      <c r="H5" s="142"/>
      <c r="I5" s="136"/>
    </row>
    <row r="6" spans="2:11" x14ac:dyDescent="0.25">
      <c r="B6" s="136"/>
      <c r="C6" s="136"/>
      <c r="D6" s="136"/>
      <c r="E6" s="143"/>
      <c r="F6" s="143"/>
      <c r="G6" s="136"/>
      <c r="H6" s="136"/>
      <c r="I6" s="136"/>
    </row>
    <row r="7" spans="2:11" x14ac:dyDescent="0.25">
      <c r="B7" s="136"/>
      <c r="C7" s="136"/>
      <c r="D7" s="136"/>
      <c r="E7" s="143"/>
      <c r="F7" s="143"/>
      <c r="G7" s="136"/>
      <c r="H7" s="136"/>
      <c r="I7" s="136"/>
    </row>
    <row r="8" spans="2:11" x14ac:dyDescent="0.25">
      <c r="B8" s="136"/>
      <c r="C8" s="136"/>
      <c r="D8" s="136"/>
      <c r="E8" s="139" t="b">
        <v>0</v>
      </c>
      <c r="F8" s="143"/>
      <c r="G8" s="136"/>
      <c r="H8" s="136"/>
      <c r="I8" s="136"/>
    </row>
    <row r="9" spans="2:11" x14ac:dyDescent="0.25">
      <c r="B9" s="136"/>
      <c r="C9" s="136"/>
      <c r="D9" s="136"/>
      <c r="E9" s="143"/>
      <c r="F9" s="143"/>
      <c r="G9" s="136"/>
      <c r="H9" s="136"/>
      <c r="I9" s="136"/>
    </row>
    <row r="10" spans="2:11" x14ac:dyDescent="0.25">
      <c r="B10" s="136"/>
      <c r="C10" s="136"/>
      <c r="D10" s="136"/>
      <c r="E10" s="143"/>
      <c r="F10" s="143"/>
      <c r="G10" s="136"/>
      <c r="H10" s="136"/>
      <c r="I10" s="136"/>
    </row>
    <row r="11" spans="2:11" x14ac:dyDescent="0.25">
      <c r="B11" s="136"/>
      <c r="C11" s="136"/>
      <c r="D11" s="136"/>
      <c r="E11" s="144" t="s">
        <v>52</v>
      </c>
      <c r="F11" s="143"/>
      <c r="G11" s="136"/>
      <c r="H11" s="136"/>
      <c r="I11" s="136"/>
    </row>
    <row r="12" spans="2:11" ht="14.45" customHeight="1" x14ac:dyDescent="0.25">
      <c r="B12" s="136"/>
      <c r="C12" s="136"/>
      <c r="D12" s="136"/>
      <c r="E12" s="169" t="str">
        <f>IF(ISERROR(VLOOKUP(C5,Kundeninformation[],2,FALSE)),"-",VLOOKUP(C5,Kundeninformation[],2,FALSE))</f>
        <v>-</v>
      </c>
      <c r="F12" s="169"/>
      <c r="G12" s="169"/>
      <c r="H12" s="169"/>
      <c r="I12" s="136"/>
    </row>
    <row r="13" spans="2:11" ht="14.45" customHeight="1" x14ac:dyDescent="0.25">
      <c r="B13" s="136"/>
      <c r="C13" s="136"/>
      <c r="D13" s="136"/>
      <c r="E13" s="169"/>
      <c r="F13" s="169"/>
      <c r="G13" s="169"/>
      <c r="H13" s="169"/>
      <c r="I13" s="136"/>
    </row>
    <row r="14" spans="2:11" ht="14.45" customHeight="1" x14ac:dyDescent="0.25">
      <c r="B14" s="136"/>
      <c r="C14" s="136"/>
      <c r="D14" s="136"/>
      <c r="E14" s="145" t="str">
        <f>IF($E$5=TRUE,"Verhinderungspflege",IF($E$8=TRUE,"Privat", "Alltagshilfe"))</f>
        <v>Verhinderungspflege</v>
      </c>
      <c r="F14" s="145"/>
      <c r="G14" s="145"/>
      <c r="H14" s="145"/>
      <c r="I14" s="146"/>
    </row>
    <row r="15" spans="2:11" ht="14.45" customHeight="1" x14ac:dyDescent="0.25">
      <c r="B15" s="136"/>
      <c r="C15" s="136"/>
      <c r="D15" s="136"/>
      <c r="E15" s="145"/>
      <c r="F15" s="145"/>
      <c r="G15" s="145"/>
      <c r="H15" s="145"/>
      <c r="I15" s="136"/>
    </row>
    <row r="16" spans="2:11" ht="14.45" customHeight="1" x14ac:dyDescent="0.25">
      <c r="B16" s="136"/>
      <c r="C16" s="136"/>
      <c r="D16" s="136"/>
      <c r="E16" s="147"/>
      <c r="F16" s="147"/>
      <c r="G16" s="147"/>
      <c r="H16" s="147"/>
      <c r="I16" s="136"/>
    </row>
    <row r="17" spans="2:9" x14ac:dyDescent="0.25">
      <c r="B17" s="136"/>
      <c r="C17" s="136"/>
      <c r="D17" s="136"/>
      <c r="E17" s="143"/>
      <c r="F17" s="143"/>
      <c r="G17" s="136"/>
      <c r="H17" s="136"/>
      <c r="I17" s="136"/>
    </row>
    <row r="18" spans="2:9" x14ac:dyDescent="0.25">
      <c r="B18" s="136"/>
      <c r="C18" s="136"/>
      <c r="D18" s="136"/>
      <c r="E18" s="143"/>
      <c r="F18" s="143"/>
      <c r="G18" s="136"/>
      <c r="H18" s="136"/>
      <c r="I18" s="136"/>
    </row>
    <row r="19" spans="2:9" x14ac:dyDescent="0.25">
      <c r="B19" s="136"/>
      <c r="C19" s="136"/>
      <c r="D19" s="136"/>
      <c r="E19" s="143"/>
      <c r="F19" s="143"/>
      <c r="G19" s="136"/>
      <c r="H19" s="136"/>
      <c r="I19" s="136"/>
    </row>
  </sheetData>
  <mergeCells count="3">
    <mergeCell ref="G5:H5"/>
    <mergeCell ref="E12:H13"/>
    <mergeCell ref="E14:H15"/>
  </mergeCells>
  <pageMargins left="0.7" right="0.7" top="0.78740157499999996" bottom="0.78740157499999996" header="0.3" footer="0.3"/>
  <pageSetup paperSize="9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6" r:id="rId4" name="Check Box 16">
              <controlPr defaultSize="0" autoFill="0" autoLine="0" autoPict="0">
                <anchor moveWithCells="1">
                  <from>
                    <xdr:col>3</xdr:col>
                    <xdr:colOff>285750</xdr:colOff>
                    <xdr:row>3</xdr:row>
                    <xdr:rowOff>0</xdr:rowOff>
                  </from>
                  <to>
                    <xdr:col>5</xdr:col>
                    <xdr:colOff>9525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5" name="Check Box 17">
              <controlPr defaultSize="0" autoFill="0" autoLine="0" autoPict="0">
                <anchor moveWithCells="1">
                  <from>
                    <xdr:col>3</xdr:col>
                    <xdr:colOff>285750</xdr:colOff>
                    <xdr:row>5</xdr:row>
                    <xdr:rowOff>133350</xdr:rowOff>
                  </from>
                  <to>
                    <xdr:col>5</xdr:col>
                    <xdr:colOff>457200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6" name="List Box 20">
              <controlPr defaultSize="0" autoLine="0" autoPict="0">
                <anchor moveWithCells="1">
                  <from>
                    <xdr:col>1</xdr:col>
                    <xdr:colOff>1162050</xdr:colOff>
                    <xdr:row>3</xdr:row>
                    <xdr:rowOff>114300</xdr:rowOff>
                  </from>
                  <to>
                    <xdr:col>2</xdr:col>
                    <xdr:colOff>2247900</xdr:colOff>
                    <xdr:row>17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DED8-58AA-48F1-8374-C4184ABA5662}">
  <sheetPr codeName="Tabelle4"/>
  <dimension ref="B2:V30"/>
  <sheetViews>
    <sheetView tabSelected="1" zoomScale="85" zoomScaleNormal="85" workbookViewId="0">
      <selection activeCell="D4" sqref="D4"/>
    </sheetView>
  </sheetViews>
  <sheetFormatPr baseColWidth="10" defaultRowHeight="15" x14ac:dyDescent="0.25"/>
  <cols>
    <col min="1" max="3" width="11.42578125" style="148"/>
    <col min="4" max="4" width="22.140625" style="148" bestFit="1" customWidth="1"/>
    <col min="5" max="5" width="38.7109375" style="148" customWidth="1"/>
    <col min="6" max="6" width="13.5703125" style="148" bestFit="1" customWidth="1"/>
    <col min="7" max="7" width="13.42578125" style="148" bestFit="1" customWidth="1"/>
    <col min="8" max="8" width="21.28515625" style="148" bestFit="1" customWidth="1"/>
    <col min="9" max="9" width="10.28515625" style="148" bestFit="1" customWidth="1"/>
    <col min="10" max="11" width="11.42578125" style="148"/>
    <col min="12" max="12" width="17" style="148" bestFit="1" customWidth="1"/>
    <col min="13" max="13" width="22.140625" style="148" customWidth="1"/>
    <col min="14" max="14" width="28.42578125" style="148" bestFit="1" customWidth="1"/>
    <col min="15" max="15" width="20.140625" style="148" customWidth="1"/>
    <col min="16" max="16" width="21.5703125" style="148" customWidth="1"/>
    <col min="17" max="20" width="11.42578125" style="148"/>
    <col min="21" max="21" width="27.140625" style="148" bestFit="1" customWidth="1"/>
    <col min="22" max="22" width="34.140625" style="148" bestFit="1" customWidth="1"/>
    <col min="23" max="16384" width="11.42578125" style="148"/>
  </cols>
  <sheetData>
    <row r="2" spans="2:22" ht="31.5" customHeight="1" x14ac:dyDescent="0.5">
      <c r="B2" s="13" t="s">
        <v>18</v>
      </c>
      <c r="L2" s="134" t="s">
        <v>25</v>
      </c>
      <c r="M2" s="134"/>
      <c r="N2" s="134"/>
      <c r="O2" s="149"/>
      <c r="P2" s="149"/>
    </row>
    <row r="3" spans="2:22" x14ac:dyDescent="0.25">
      <c r="B3" s="11" t="s">
        <v>276</v>
      </c>
      <c r="C3" s="148" t="s">
        <v>277</v>
      </c>
      <c r="D3" s="150" t="s">
        <v>306</v>
      </c>
      <c r="E3" s="148" t="s">
        <v>20</v>
      </c>
      <c r="F3" s="148" t="s">
        <v>21</v>
      </c>
      <c r="G3" s="148" t="s">
        <v>22</v>
      </c>
      <c r="H3" s="148" t="s">
        <v>23</v>
      </c>
      <c r="I3" s="148" t="s">
        <v>24</v>
      </c>
      <c r="L3" s="149" t="s">
        <v>19</v>
      </c>
      <c r="M3" s="149" t="s">
        <v>278</v>
      </c>
      <c r="N3" s="149" t="s">
        <v>279</v>
      </c>
      <c r="O3" s="149" t="s">
        <v>280</v>
      </c>
      <c r="P3" s="149" t="s">
        <v>281</v>
      </c>
      <c r="S3" s="151"/>
      <c r="T3" s="152"/>
      <c r="U3" s="151"/>
      <c r="V3" s="153"/>
    </row>
    <row r="4" spans="2:22" ht="15.75" x14ac:dyDescent="0.25">
      <c r="B4" s="154">
        <v>1</v>
      </c>
      <c r="C4" s="155" t="s">
        <v>297</v>
      </c>
      <c r="D4" s="155" t="s">
        <v>297</v>
      </c>
      <c r="E4" s="150" t="s">
        <v>297</v>
      </c>
      <c r="F4" s="156" t="s">
        <v>297</v>
      </c>
      <c r="G4" s="155" t="s">
        <v>297</v>
      </c>
      <c r="H4" s="155" t="s">
        <v>297</v>
      </c>
      <c r="I4" s="157" t="s">
        <v>297</v>
      </c>
      <c r="L4" s="158" t="s">
        <v>297</v>
      </c>
      <c r="M4" s="159" t="s">
        <v>297</v>
      </c>
      <c r="N4" s="159" t="s">
        <v>297</v>
      </c>
      <c r="O4" s="159" t="s">
        <v>297</v>
      </c>
      <c r="P4" s="159" t="s">
        <v>297</v>
      </c>
      <c r="S4" s="151"/>
      <c r="T4" s="152"/>
      <c r="U4" s="151"/>
      <c r="V4" s="153"/>
    </row>
    <row r="5" spans="2:22" ht="15.75" x14ac:dyDescent="0.25">
      <c r="B5" s="154">
        <v>2</v>
      </c>
      <c r="C5" s="150" t="s">
        <v>298</v>
      </c>
      <c r="D5" s="155" t="s">
        <v>299</v>
      </c>
      <c r="E5" s="155" t="s">
        <v>300</v>
      </c>
      <c r="F5" s="156">
        <v>36526</v>
      </c>
      <c r="G5" s="155" t="s">
        <v>301</v>
      </c>
      <c r="H5" s="155" t="s">
        <v>302</v>
      </c>
      <c r="I5" s="148">
        <v>1</v>
      </c>
      <c r="L5" s="158" t="s">
        <v>301</v>
      </c>
      <c r="M5" s="160" t="s">
        <v>304</v>
      </c>
      <c r="N5" s="149" t="s">
        <v>303</v>
      </c>
      <c r="O5" s="149" t="s">
        <v>305</v>
      </c>
      <c r="P5" s="160">
        <v>0</v>
      </c>
      <c r="S5" s="151"/>
      <c r="T5" s="152"/>
      <c r="U5" s="151"/>
      <c r="V5" s="153"/>
    </row>
    <row r="6" spans="2:22" ht="15.75" x14ac:dyDescent="0.25">
      <c r="B6" s="154">
        <v>3</v>
      </c>
      <c r="C6" s="155"/>
      <c r="D6" s="155"/>
      <c r="E6" s="155"/>
      <c r="F6" s="156"/>
      <c r="G6" s="155"/>
      <c r="H6" s="155"/>
      <c r="L6" s="158"/>
      <c r="M6" s="160"/>
      <c r="N6" s="160"/>
      <c r="O6" s="149"/>
      <c r="P6" s="160"/>
      <c r="S6" s="151"/>
      <c r="T6" s="152"/>
      <c r="U6" s="151"/>
      <c r="V6" s="153"/>
    </row>
    <row r="7" spans="2:22" x14ac:dyDescent="0.25">
      <c r="B7" s="154">
        <v>4</v>
      </c>
      <c r="C7" s="155"/>
      <c r="D7" s="155"/>
      <c r="E7" s="155"/>
      <c r="F7" s="156"/>
      <c r="G7" s="155"/>
      <c r="H7" s="155"/>
      <c r="L7" s="158"/>
      <c r="M7" s="149"/>
      <c r="N7" s="149"/>
      <c r="O7" s="149"/>
      <c r="P7" s="161"/>
      <c r="S7" s="151"/>
      <c r="T7" s="152"/>
      <c r="U7" s="151"/>
      <c r="V7" s="153"/>
    </row>
    <row r="8" spans="2:22" ht="15.75" x14ac:dyDescent="0.25">
      <c r="B8" s="154">
        <v>5</v>
      </c>
      <c r="C8" s="155"/>
      <c r="D8" s="155"/>
      <c r="E8" s="151"/>
      <c r="F8" s="156"/>
      <c r="G8" s="155"/>
      <c r="H8" s="155"/>
      <c r="L8" s="158"/>
      <c r="M8" s="160"/>
      <c r="N8" s="160"/>
      <c r="P8" s="160"/>
      <c r="S8" s="151"/>
      <c r="T8" s="152"/>
      <c r="U8" s="151"/>
      <c r="V8" s="153"/>
    </row>
    <row r="9" spans="2:22" ht="15.75" x14ac:dyDescent="0.25">
      <c r="B9" s="154">
        <v>6</v>
      </c>
      <c r="C9" s="155"/>
      <c r="D9" s="155"/>
      <c r="E9" s="155"/>
      <c r="F9" s="156"/>
      <c r="G9" s="155"/>
      <c r="H9" s="155"/>
      <c r="L9" s="158"/>
      <c r="M9" s="159"/>
      <c r="O9" s="149"/>
      <c r="P9" s="159"/>
      <c r="S9" s="151"/>
      <c r="T9" s="152"/>
      <c r="U9" s="151"/>
      <c r="V9" s="153"/>
    </row>
    <row r="10" spans="2:22" ht="15.75" x14ac:dyDescent="0.25">
      <c r="B10" s="154">
        <v>7</v>
      </c>
      <c r="C10" s="155"/>
      <c r="D10" s="155"/>
      <c r="E10" s="155"/>
      <c r="F10" s="156"/>
      <c r="G10" s="155"/>
      <c r="H10" s="155"/>
      <c r="L10" s="158"/>
      <c r="M10" s="159"/>
      <c r="O10" s="149"/>
      <c r="P10" s="159"/>
      <c r="S10" s="151"/>
      <c r="T10" s="152"/>
      <c r="U10" s="151"/>
      <c r="V10" s="153"/>
    </row>
    <row r="11" spans="2:22" ht="15.75" x14ac:dyDescent="0.25">
      <c r="B11" s="154">
        <v>8</v>
      </c>
      <c r="C11" s="155"/>
      <c r="D11" s="155"/>
      <c r="E11" s="155"/>
      <c r="F11" s="162"/>
      <c r="G11" s="155"/>
      <c r="H11" s="155"/>
      <c r="L11" s="160"/>
      <c r="M11" s="163"/>
      <c r="N11" s="163"/>
      <c r="O11" s="163"/>
      <c r="P11" s="159"/>
      <c r="S11" s="151"/>
      <c r="T11" s="152"/>
      <c r="U11" s="151"/>
      <c r="V11" s="153"/>
    </row>
    <row r="12" spans="2:22" ht="15.75" x14ac:dyDescent="0.25">
      <c r="B12" s="154">
        <v>9</v>
      </c>
      <c r="C12" s="155"/>
      <c r="D12" s="155"/>
      <c r="E12" s="155"/>
      <c r="F12" s="156"/>
      <c r="G12" s="155"/>
      <c r="H12" s="155"/>
      <c r="L12" s="159"/>
      <c r="M12" s="159"/>
      <c r="N12" s="159"/>
      <c r="O12" s="159"/>
      <c r="P12" s="159"/>
      <c r="S12" s="151"/>
      <c r="T12" s="152"/>
      <c r="U12" s="151"/>
      <c r="V12" s="153"/>
    </row>
    <row r="13" spans="2:22" ht="15.75" x14ac:dyDescent="0.25">
      <c r="B13" s="154">
        <v>10</v>
      </c>
      <c r="C13" s="155"/>
      <c r="D13" s="155"/>
      <c r="E13" s="155"/>
      <c r="F13" s="156"/>
      <c r="G13" s="155"/>
      <c r="H13" s="155"/>
      <c r="I13" s="151"/>
      <c r="L13" s="158"/>
      <c r="M13" s="159"/>
      <c r="N13" s="159"/>
      <c r="O13" s="159"/>
      <c r="P13" s="159"/>
      <c r="S13" s="151"/>
      <c r="T13" s="152"/>
      <c r="U13" s="151"/>
      <c r="V13" s="153"/>
    </row>
    <row r="14" spans="2:22" x14ac:dyDescent="0.25">
      <c r="B14" s="154">
        <v>11</v>
      </c>
      <c r="C14" s="155"/>
      <c r="D14" s="155"/>
      <c r="E14" s="155"/>
      <c r="F14" s="162"/>
      <c r="G14" s="155"/>
      <c r="H14" s="155"/>
      <c r="S14" s="151"/>
      <c r="T14" s="152"/>
      <c r="U14" s="151"/>
      <c r="V14" s="153"/>
    </row>
    <row r="15" spans="2:22" x14ac:dyDescent="0.25">
      <c r="B15" s="154">
        <v>12</v>
      </c>
      <c r="C15" s="155"/>
      <c r="D15" s="155"/>
      <c r="E15" s="155"/>
      <c r="F15" s="162"/>
      <c r="G15" s="155"/>
      <c r="H15" s="155"/>
      <c r="S15" s="151"/>
      <c r="T15" s="152"/>
      <c r="U15" s="151"/>
      <c r="V15" s="153"/>
    </row>
    <row r="16" spans="2:22" x14ac:dyDescent="0.25">
      <c r="B16" s="154">
        <v>13</v>
      </c>
      <c r="C16" s="155"/>
      <c r="D16" s="155"/>
      <c r="E16" s="155"/>
      <c r="F16" s="156"/>
      <c r="G16" s="155"/>
      <c r="H16" s="155"/>
      <c r="S16" s="151"/>
      <c r="T16" s="152"/>
      <c r="U16" s="151"/>
      <c r="V16" s="153"/>
    </row>
    <row r="17" spans="2:22" x14ac:dyDescent="0.25">
      <c r="B17" s="154">
        <v>14</v>
      </c>
      <c r="C17" s="155"/>
      <c r="D17" s="158"/>
      <c r="E17" s="158"/>
      <c r="F17" s="164"/>
      <c r="G17" s="158"/>
      <c r="H17" s="158"/>
      <c r="I17" s="158"/>
      <c r="S17" s="151"/>
      <c r="T17" s="152"/>
      <c r="U17" s="151"/>
      <c r="V17" s="153"/>
    </row>
    <row r="18" spans="2:22" x14ac:dyDescent="0.25">
      <c r="B18" s="154">
        <v>15</v>
      </c>
      <c r="C18" s="155"/>
      <c r="D18" s="155"/>
      <c r="E18" s="155"/>
      <c r="F18" s="156"/>
      <c r="G18" s="155"/>
      <c r="H18" s="155"/>
      <c r="S18" s="151"/>
      <c r="T18" s="152"/>
      <c r="U18" s="151"/>
      <c r="V18" s="153"/>
    </row>
    <row r="19" spans="2:22" x14ac:dyDescent="0.25">
      <c r="B19" s="154">
        <v>16</v>
      </c>
      <c r="C19" s="155"/>
      <c r="D19" s="155"/>
      <c r="E19" s="155"/>
      <c r="F19" s="156"/>
      <c r="G19" s="155"/>
      <c r="H19" s="155"/>
      <c r="S19" s="151"/>
      <c r="T19" s="152"/>
      <c r="U19" s="151"/>
      <c r="V19" s="153"/>
    </row>
    <row r="20" spans="2:22" x14ac:dyDescent="0.25">
      <c r="B20" s="154">
        <v>17</v>
      </c>
      <c r="C20" s="155"/>
      <c r="D20" s="155"/>
      <c r="E20" s="155"/>
      <c r="F20" s="156"/>
      <c r="G20" s="155"/>
      <c r="H20" s="155"/>
      <c r="S20" s="151"/>
      <c r="T20" s="152"/>
      <c r="U20" s="151"/>
      <c r="V20" s="153"/>
    </row>
    <row r="21" spans="2:22" x14ac:dyDescent="0.25">
      <c r="B21" s="154">
        <v>18</v>
      </c>
      <c r="C21" s="155"/>
      <c r="D21" s="150"/>
      <c r="E21" s="150"/>
      <c r="F21" s="165"/>
      <c r="H21" s="166"/>
      <c r="I21" s="157"/>
      <c r="S21" s="151"/>
      <c r="T21" s="152"/>
      <c r="U21" s="151"/>
      <c r="V21" s="153"/>
    </row>
    <row r="22" spans="2:22" x14ac:dyDescent="0.25">
      <c r="B22" s="154">
        <v>19</v>
      </c>
      <c r="C22" s="155"/>
      <c r="D22" s="155"/>
      <c r="E22" s="151"/>
      <c r="F22" s="156"/>
      <c r="G22" s="155"/>
      <c r="H22" s="155"/>
      <c r="S22" s="151"/>
      <c r="T22" s="152"/>
      <c r="U22" s="151"/>
      <c r="V22" s="153"/>
    </row>
    <row r="23" spans="2:22" x14ac:dyDescent="0.25">
      <c r="B23" s="154">
        <v>20</v>
      </c>
      <c r="C23" s="155"/>
      <c r="D23" s="155"/>
      <c r="E23" s="151"/>
      <c r="F23" s="156"/>
      <c r="G23" s="155"/>
      <c r="H23" s="155"/>
      <c r="M23" s="12"/>
      <c r="S23" s="151"/>
      <c r="T23" s="152"/>
      <c r="U23" s="151"/>
      <c r="V23" s="153"/>
    </row>
    <row r="24" spans="2:22" x14ac:dyDescent="0.25">
      <c r="B24" s="154">
        <v>21</v>
      </c>
      <c r="C24" s="155"/>
      <c r="D24" s="155"/>
      <c r="E24" s="155"/>
      <c r="F24" s="156"/>
      <c r="G24" s="155"/>
      <c r="H24" s="155"/>
      <c r="S24" s="151"/>
      <c r="T24" s="152"/>
      <c r="U24" s="151"/>
      <c r="V24" s="153"/>
    </row>
    <row r="25" spans="2:22" x14ac:dyDescent="0.25">
      <c r="B25" s="154">
        <v>22</v>
      </c>
      <c r="C25" s="155"/>
      <c r="D25" s="155"/>
      <c r="E25" s="150"/>
      <c r="F25" s="156"/>
      <c r="G25" s="155"/>
      <c r="H25" s="155"/>
      <c r="I25" s="157"/>
      <c r="S25" s="151"/>
      <c r="T25" s="152"/>
      <c r="U25" s="151"/>
      <c r="V25" s="153"/>
    </row>
    <row r="26" spans="2:22" x14ac:dyDescent="0.25">
      <c r="D26" s="155"/>
      <c r="E26" s="155"/>
      <c r="F26" s="162"/>
      <c r="G26" s="155"/>
      <c r="H26" s="155"/>
      <c r="S26" s="151"/>
      <c r="T26" s="152"/>
      <c r="U26" s="151"/>
      <c r="V26" s="153"/>
    </row>
    <row r="27" spans="2:22" x14ac:dyDescent="0.25">
      <c r="S27" s="151"/>
      <c r="T27" s="152"/>
      <c r="U27" s="151"/>
      <c r="V27" s="153"/>
    </row>
    <row r="28" spans="2:22" x14ac:dyDescent="0.25">
      <c r="T28" s="152"/>
      <c r="U28" s="151"/>
    </row>
    <row r="29" spans="2:22" x14ac:dyDescent="0.25">
      <c r="H29" s="167"/>
    </row>
    <row r="30" spans="2:22" x14ac:dyDescent="0.25">
      <c r="B30" s="155"/>
      <c r="D30" s="155"/>
      <c r="E30" s="155"/>
      <c r="F30" s="162"/>
      <c r="G30" s="155"/>
      <c r="H30" s="155"/>
    </row>
  </sheetData>
  <sortState xmlns:xlrd2="http://schemas.microsoft.com/office/spreadsheetml/2017/richdata2" ref="B5:I24">
    <sortCondition ref="B4:B24"/>
  </sortState>
  <mergeCells count="1">
    <mergeCell ref="L2:N2"/>
  </mergeCells>
  <pageMargins left="0.7" right="0.7" top="0.78740157499999996" bottom="0.78740157499999996" header="0.3" footer="0.3"/>
  <pageSetup paperSize="9" orientation="portrait" horizontalDpi="4294967293" r:id="rId1"/>
  <customProperties>
    <customPr name="OrphanNamesChecked" r:id="rId2"/>
  </customProperties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AEB4-C5B4-46D5-B6E8-B497F164C19C}">
  <sheetPr codeName="Tabelle5"/>
  <dimension ref="A1:J75"/>
  <sheetViews>
    <sheetView zoomScale="85" zoomScaleNormal="85" workbookViewId="0">
      <selection activeCell="N17" sqref="N17"/>
    </sheetView>
  </sheetViews>
  <sheetFormatPr baseColWidth="10" defaultRowHeight="15" x14ac:dyDescent="0.25"/>
  <cols>
    <col min="1" max="1" width="17.28515625" bestFit="1" customWidth="1"/>
    <col min="2" max="2" width="45.140625" bestFit="1" customWidth="1"/>
    <col min="3" max="3" width="34.42578125" bestFit="1" customWidth="1"/>
    <col min="4" max="4" width="21.42578125" bestFit="1" customWidth="1"/>
    <col min="5" max="5" width="15.42578125" bestFit="1" customWidth="1"/>
    <col min="6" max="6" width="34.7109375" bestFit="1" customWidth="1"/>
    <col min="8" max="8" width="16.28515625" bestFit="1" customWidth="1"/>
    <col min="9" max="9" width="10.5703125" bestFit="1" customWidth="1"/>
    <col min="10" max="10" width="20.5703125" bestFit="1" customWidth="1"/>
  </cols>
  <sheetData>
    <row r="1" spans="1:10" x14ac:dyDescent="0.25">
      <c r="A1" t="s">
        <v>68</v>
      </c>
      <c r="B1" t="s">
        <v>69</v>
      </c>
      <c r="C1" t="s">
        <v>70</v>
      </c>
    </row>
    <row r="2" spans="1:10" x14ac:dyDescent="0.25">
      <c r="A2" t="s">
        <v>71</v>
      </c>
    </row>
    <row r="3" spans="1:10" x14ac:dyDescent="0.25">
      <c r="H3" t="s">
        <v>31</v>
      </c>
    </row>
    <row r="4" spans="1:10" x14ac:dyDescent="0.25">
      <c r="A4" t="s">
        <v>80</v>
      </c>
      <c r="B4" t="s">
        <v>53</v>
      </c>
      <c r="C4" t="s">
        <v>54</v>
      </c>
      <c r="D4" t="s">
        <v>55</v>
      </c>
      <c r="E4" s="5" t="s">
        <v>56</v>
      </c>
      <c r="F4" t="s">
        <v>79</v>
      </c>
      <c r="H4" s="1" t="s">
        <v>53</v>
      </c>
      <c r="I4" s="4" t="s">
        <v>54</v>
      </c>
      <c r="J4" s="1" t="s">
        <v>55</v>
      </c>
    </row>
    <row r="5" spans="1:10" x14ac:dyDescent="0.25">
      <c r="A5" s="1" t="s">
        <v>57</v>
      </c>
      <c r="B5" t="s">
        <v>117</v>
      </c>
      <c r="C5" t="s">
        <v>73</v>
      </c>
      <c r="D5" t="s">
        <v>70</v>
      </c>
      <c r="E5" s="6">
        <v>31.25</v>
      </c>
      <c r="F5" s="1" t="s">
        <v>266</v>
      </c>
      <c r="H5" s="1" t="s">
        <v>207</v>
      </c>
      <c r="I5" s="6">
        <v>6</v>
      </c>
      <c r="J5" s="1" t="s">
        <v>208</v>
      </c>
    </row>
    <row r="6" spans="1:10" x14ac:dyDescent="0.25">
      <c r="A6" s="1" t="s">
        <v>209</v>
      </c>
      <c r="B6" t="s">
        <v>259</v>
      </c>
      <c r="C6" t="s">
        <v>73</v>
      </c>
      <c r="D6" t="s">
        <v>70</v>
      </c>
      <c r="E6" s="6">
        <v>37.25</v>
      </c>
      <c r="F6" s="1" t="s">
        <v>260</v>
      </c>
      <c r="H6" s="1" t="s">
        <v>57</v>
      </c>
      <c r="I6" s="6">
        <v>31.25</v>
      </c>
      <c r="J6" s="1" t="s">
        <v>230</v>
      </c>
    </row>
    <row r="7" spans="1:10" x14ac:dyDescent="0.25">
      <c r="A7" s="1" t="s">
        <v>59</v>
      </c>
      <c r="B7" t="s">
        <v>118</v>
      </c>
      <c r="C7" t="s">
        <v>73</v>
      </c>
      <c r="D7" t="s">
        <v>70</v>
      </c>
      <c r="E7" s="6">
        <v>46.88</v>
      </c>
      <c r="F7" s="1" t="s">
        <v>263</v>
      </c>
      <c r="H7" s="1" t="s">
        <v>209</v>
      </c>
      <c r="I7" s="6">
        <v>37.25</v>
      </c>
      <c r="J7" s="1" t="s">
        <v>211</v>
      </c>
    </row>
    <row r="8" spans="1:10" x14ac:dyDescent="0.25">
      <c r="A8" s="1" t="s">
        <v>210</v>
      </c>
      <c r="B8" t="s">
        <v>261</v>
      </c>
      <c r="C8" t="s">
        <v>73</v>
      </c>
      <c r="D8" t="s">
        <v>70</v>
      </c>
      <c r="E8" s="6">
        <v>52.88</v>
      </c>
      <c r="F8" s="1" t="s">
        <v>262</v>
      </c>
      <c r="H8" s="1" t="s">
        <v>59</v>
      </c>
      <c r="I8" s="6">
        <v>46.88</v>
      </c>
      <c r="J8" s="1" t="s">
        <v>213</v>
      </c>
    </row>
    <row r="9" spans="1:10" x14ac:dyDescent="0.25">
      <c r="A9" s="1" t="s">
        <v>61</v>
      </c>
      <c r="B9" t="s">
        <v>119</v>
      </c>
      <c r="C9" t="s">
        <v>73</v>
      </c>
      <c r="D9" t="s">
        <v>70</v>
      </c>
      <c r="E9" s="6">
        <v>62.5</v>
      </c>
      <c r="F9" s="1" t="s">
        <v>265</v>
      </c>
      <c r="H9" s="1" t="s">
        <v>210</v>
      </c>
      <c r="I9" s="6">
        <v>52.88</v>
      </c>
      <c r="J9" s="1" t="s">
        <v>212</v>
      </c>
    </row>
    <row r="10" spans="1:10" x14ac:dyDescent="0.25">
      <c r="A10" s="1" t="s">
        <v>214</v>
      </c>
      <c r="B10" t="s">
        <v>264</v>
      </c>
      <c r="C10" t="s">
        <v>73</v>
      </c>
      <c r="D10" t="s">
        <v>70</v>
      </c>
      <c r="E10" s="6">
        <v>68.5</v>
      </c>
      <c r="F10" s="1" t="s">
        <v>267</v>
      </c>
      <c r="H10" s="1" t="s">
        <v>61</v>
      </c>
      <c r="I10" s="6">
        <v>62.5</v>
      </c>
      <c r="J10" s="1" t="s">
        <v>231</v>
      </c>
    </row>
    <row r="11" spans="1:10" x14ac:dyDescent="0.25">
      <c r="A11" s="1" t="s">
        <v>63</v>
      </c>
      <c r="B11" t="s">
        <v>120</v>
      </c>
      <c r="C11" t="s">
        <v>73</v>
      </c>
      <c r="D11" t="s">
        <v>70</v>
      </c>
      <c r="E11" s="6">
        <v>78.13</v>
      </c>
      <c r="F11" s="1" t="s">
        <v>268</v>
      </c>
      <c r="H11" s="1" t="s">
        <v>214</v>
      </c>
      <c r="I11" s="6">
        <v>68.5</v>
      </c>
      <c r="J11" s="1" t="s">
        <v>215</v>
      </c>
    </row>
    <row r="12" spans="1:10" x14ac:dyDescent="0.25">
      <c r="A12" s="1" t="s">
        <v>216</v>
      </c>
      <c r="B12" t="s">
        <v>257</v>
      </c>
      <c r="C12" t="s">
        <v>73</v>
      </c>
      <c r="D12" t="s">
        <v>70</v>
      </c>
      <c r="E12" s="6">
        <v>83.13</v>
      </c>
      <c r="F12" s="1" t="s">
        <v>258</v>
      </c>
      <c r="H12" s="1"/>
      <c r="I12" s="6"/>
      <c r="J12" s="1"/>
    </row>
    <row r="13" spans="1:10" x14ac:dyDescent="0.25">
      <c r="A13" s="1" t="s">
        <v>27</v>
      </c>
      <c r="B13" t="s">
        <v>72</v>
      </c>
      <c r="C13" t="s">
        <v>73</v>
      </c>
      <c r="D13" t="s">
        <v>70</v>
      </c>
      <c r="E13" s="6">
        <v>93.75</v>
      </c>
      <c r="F13" s="1" t="s">
        <v>131</v>
      </c>
      <c r="H13" s="1" t="s">
        <v>63</v>
      </c>
      <c r="I13" s="6">
        <v>78.13</v>
      </c>
      <c r="J13" s="1" t="s">
        <v>232</v>
      </c>
    </row>
    <row r="14" spans="1:10" x14ac:dyDescent="0.25">
      <c r="A14" s="1" t="s">
        <v>66</v>
      </c>
      <c r="B14" t="s">
        <v>121</v>
      </c>
      <c r="C14" t="s">
        <v>73</v>
      </c>
      <c r="D14" t="s">
        <v>70</v>
      </c>
      <c r="E14" s="6">
        <v>109.38</v>
      </c>
      <c r="F14" s="1" t="s">
        <v>132</v>
      </c>
      <c r="H14" s="1" t="s">
        <v>216</v>
      </c>
      <c r="I14" s="6">
        <v>84.13</v>
      </c>
      <c r="J14" s="1" t="s">
        <v>217</v>
      </c>
    </row>
    <row r="15" spans="1:10" x14ac:dyDescent="0.25">
      <c r="A15" s="1" t="s">
        <v>28</v>
      </c>
      <c r="B15" t="s">
        <v>74</v>
      </c>
      <c r="C15" t="s">
        <v>73</v>
      </c>
      <c r="D15" t="s">
        <v>70</v>
      </c>
      <c r="E15" s="6">
        <v>125</v>
      </c>
      <c r="F15" s="1" t="s">
        <v>48</v>
      </c>
      <c r="H15" s="1" t="s">
        <v>269</v>
      </c>
      <c r="I15" s="6">
        <v>54.69</v>
      </c>
      <c r="J15" s="1" t="s">
        <v>270</v>
      </c>
    </row>
    <row r="16" spans="1:10" x14ac:dyDescent="0.25">
      <c r="A16" s="1" t="s">
        <v>83</v>
      </c>
      <c r="B16" t="s">
        <v>122</v>
      </c>
      <c r="C16" t="s">
        <v>73</v>
      </c>
      <c r="D16" t="s">
        <v>70</v>
      </c>
      <c r="E16" s="6">
        <v>140.63</v>
      </c>
      <c r="F16" s="1" t="s">
        <v>133</v>
      </c>
      <c r="H16" s="1" t="s">
        <v>27</v>
      </c>
      <c r="I16" s="6">
        <v>93.75</v>
      </c>
      <c r="J16" s="1" t="s">
        <v>233</v>
      </c>
    </row>
    <row r="17" spans="1:10" x14ac:dyDescent="0.25">
      <c r="A17" s="1" t="s">
        <v>29</v>
      </c>
      <c r="B17" t="s">
        <v>75</v>
      </c>
      <c r="C17" t="s">
        <v>73</v>
      </c>
      <c r="D17" t="s">
        <v>70</v>
      </c>
      <c r="E17" s="6">
        <v>156.25</v>
      </c>
      <c r="F17" s="1" t="s">
        <v>134</v>
      </c>
      <c r="H17" s="1" t="s">
        <v>218</v>
      </c>
      <c r="I17" s="6">
        <v>99.75</v>
      </c>
      <c r="J17" s="1" t="s">
        <v>219</v>
      </c>
    </row>
    <row r="18" spans="1:10" x14ac:dyDescent="0.25">
      <c r="A18" s="1" t="s">
        <v>85</v>
      </c>
      <c r="B18" t="s">
        <v>123</v>
      </c>
      <c r="C18" t="s">
        <v>73</v>
      </c>
      <c r="D18" t="s">
        <v>70</v>
      </c>
      <c r="E18" s="6">
        <v>171.88</v>
      </c>
      <c r="F18" s="1" t="s">
        <v>135</v>
      </c>
      <c r="H18" s="1" t="s">
        <v>66</v>
      </c>
      <c r="I18" s="6">
        <v>109.38</v>
      </c>
      <c r="J18" s="1" t="s">
        <v>234</v>
      </c>
    </row>
    <row r="19" spans="1:10" x14ac:dyDescent="0.25">
      <c r="A19" s="1" t="s">
        <v>30</v>
      </c>
      <c r="B19" t="s">
        <v>76</v>
      </c>
      <c r="C19" t="s">
        <v>73</v>
      </c>
      <c r="D19" t="s">
        <v>70</v>
      </c>
      <c r="E19" s="6">
        <v>189</v>
      </c>
      <c r="F19" s="1" t="s">
        <v>136</v>
      </c>
      <c r="H19" s="1" t="s">
        <v>220</v>
      </c>
      <c r="I19" s="6">
        <v>115.38</v>
      </c>
      <c r="J19" s="1" t="s">
        <v>221</v>
      </c>
    </row>
    <row r="20" spans="1:10" x14ac:dyDescent="0.25">
      <c r="A20" s="1" t="s">
        <v>87</v>
      </c>
      <c r="B20" t="s">
        <v>124</v>
      </c>
      <c r="C20" t="s">
        <v>73</v>
      </c>
      <c r="D20" t="s">
        <v>70</v>
      </c>
      <c r="E20" s="6">
        <v>204.63</v>
      </c>
      <c r="F20" s="1" t="s">
        <v>137</v>
      </c>
      <c r="H20" s="1" t="s">
        <v>28</v>
      </c>
      <c r="I20" s="6">
        <v>125</v>
      </c>
      <c r="J20" s="1" t="s">
        <v>235</v>
      </c>
    </row>
    <row r="21" spans="1:10" x14ac:dyDescent="0.25">
      <c r="A21" s="1" t="s">
        <v>33</v>
      </c>
      <c r="B21" t="s">
        <v>77</v>
      </c>
      <c r="C21" t="s">
        <v>73</v>
      </c>
      <c r="D21" t="s">
        <v>70</v>
      </c>
      <c r="E21" s="6">
        <v>220.25</v>
      </c>
      <c r="F21" s="1" t="s">
        <v>138</v>
      </c>
      <c r="H21" s="1" t="s">
        <v>222</v>
      </c>
      <c r="I21" s="6">
        <v>131</v>
      </c>
      <c r="J21" s="1" t="s">
        <v>223</v>
      </c>
    </row>
    <row r="22" spans="1:10" x14ac:dyDescent="0.25">
      <c r="A22" s="1" t="s">
        <v>88</v>
      </c>
      <c r="B22" t="s">
        <v>125</v>
      </c>
      <c r="C22" t="s">
        <v>73</v>
      </c>
      <c r="D22" t="s">
        <v>70</v>
      </c>
      <c r="E22" s="6">
        <v>235.88</v>
      </c>
      <c r="F22" s="1" t="s">
        <v>139</v>
      </c>
      <c r="H22" s="1" t="s">
        <v>83</v>
      </c>
      <c r="I22" s="6">
        <v>140.63</v>
      </c>
      <c r="J22" s="1" t="s">
        <v>236</v>
      </c>
    </row>
    <row r="23" spans="1:10" x14ac:dyDescent="0.25">
      <c r="A23" s="1" t="s">
        <v>34</v>
      </c>
      <c r="B23" t="s">
        <v>78</v>
      </c>
      <c r="C23" t="s">
        <v>73</v>
      </c>
      <c r="D23" t="s">
        <v>70</v>
      </c>
      <c r="E23" s="6">
        <v>251.5</v>
      </c>
      <c r="F23" s="1" t="s">
        <v>140</v>
      </c>
      <c r="H23" s="1" t="s">
        <v>224</v>
      </c>
      <c r="I23" s="6">
        <v>146.63</v>
      </c>
      <c r="J23" s="1" t="s">
        <v>225</v>
      </c>
    </row>
    <row r="24" spans="1:10" x14ac:dyDescent="0.25">
      <c r="A24" s="1" t="s">
        <v>89</v>
      </c>
      <c r="B24" t="s">
        <v>126</v>
      </c>
      <c r="C24" t="s">
        <v>73</v>
      </c>
      <c r="D24" t="s">
        <v>70</v>
      </c>
      <c r="E24" s="6">
        <v>276.125</v>
      </c>
      <c r="F24" s="1" t="s">
        <v>141</v>
      </c>
      <c r="H24" s="1" t="s">
        <v>29</v>
      </c>
      <c r="I24" s="6">
        <v>156.25</v>
      </c>
      <c r="J24" s="1" t="s">
        <v>237</v>
      </c>
    </row>
    <row r="25" spans="1:10" x14ac:dyDescent="0.25">
      <c r="A25" s="1" t="s">
        <v>41</v>
      </c>
      <c r="B25" t="s">
        <v>142</v>
      </c>
      <c r="C25" t="s">
        <v>73</v>
      </c>
      <c r="D25" t="s">
        <v>158</v>
      </c>
      <c r="E25" s="6">
        <v>30.35</v>
      </c>
      <c r="F25" s="1" t="s">
        <v>127</v>
      </c>
      <c r="H25" s="1" t="s">
        <v>226</v>
      </c>
      <c r="I25" s="6">
        <v>162.25</v>
      </c>
      <c r="J25" s="1" t="s">
        <v>227</v>
      </c>
    </row>
    <row r="26" spans="1:10" x14ac:dyDescent="0.25">
      <c r="A26" s="1" t="s">
        <v>96</v>
      </c>
      <c r="B26" t="s">
        <v>143</v>
      </c>
      <c r="C26" t="s">
        <v>73</v>
      </c>
      <c r="D26" t="s">
        <v>158</v>
      </c>
      <c r="E26" s="6">
        <v>45.53</v>
      </c>
      <c r="F26" s="1" t="s">
        <v>128</v>
      </c>
      <c r="H26" s="1" t="s">
        <v>85</v>
      </c>
      <c r="I26" s="6">
        <v>171.88</v>
      </c>
      <c r="J26" s="1" t="s">
        <v>238</v>
      </c>
    </row>
    <row r="27" spans="1:10" x14ac:dyDescent="0.25">
      <c r="A27" s="1" t="s">
        <v>42</v>
      </c>
      <c r="B27" t="s">
        <v>144</v>
      </c>
      <c r="C27" t="s">
        <v>73</v>
      </c>
      <c r="D27" t="s">
        <v>158</v>
      </c>
      <c r="E27" s="6">
        <v>60.7</v>
      </c>
      <c r="F27" s="1" t="s">
        <v>129</v>
      </c>
      <c r="H27" s="1" t="s">
        <v>228</v>
      </c>
      <c r="I27" s="6">
        <v>177.88</v>
      </c>
      <c r="J27" s="1" t="s">
        <v>229</v>
      </c>
    </row>
    <row r="28" spans="1:10" x14ac:dyDescent="0.25">
      <c r="A28" s="1" t="s">
        <v>97</v>
      </c>
      <c r="B28" t="s">
        <v>145</v>
      </c>
      <c r="C28" t="s">
        <v>73</v>
      </c>
      <c r="D28" t="s">
        <v>158</v>
      </c>
      <c r="E28" s="6">
        <v>75.88</v>
      </c>
      <c r="F28" s="1" t="s">
        <v>130</v>
      </c>
      <c r="H28" s="1" t="s">
        <v>30</v>
      </c>
      <c r="I28" s="6">
        <v>187.5</v>
      </c>
      <c r="J28" s="1" t="s">
        <v>239</v>
      </c>
    </row>
    <row r="29" spans="1:10" x14ac:dyDescent="0.25">
      <c r="A29" s="1" t="s">
        <v>43</v>
      </c>
      <c r="B29" t="s">
        <v>146</v>
      </c>
      <c r="C29" t="s">
        <v>73</v>
      </c>
      <c r="D29" t="s">
        <v>158</v>
      </c>
      <c r="E29" s="6">
        <v>91.05</v>
      </c>
      <c r="F29" s="1" t="s">
        <v>131</v>
      </c>
      <c r="H29" s="1" t="s">
        <v>240</v>
      </c>
      <c r="I29" s="6">
        <v>193.5</v>
      </c>
      <c r="J29" s="1" t="s">
        <v>241</v>
      </c>
    </row>
    <row r="30" spans="1:10" x14ac:dyDescent="0.25">
      <c r="A30" s="1" t="s">
        <v>98</v>
      </c>
      <c r="B30" t="s">
        <v>147</v>
      </c>
      <c r="C30" t="s">
        <v>73</v>
      </c>
      <c r="D30" t="s">
        <v>158</v>
      </c>
      <c r="E30" s="6">
        <v>106.23</v>
      </c>
      <c r="F30" s="1" t="s">
        <v>132</v>
      </c>
      <c r="H30" s="1" t="s">
        <v>87</v>
      </c>
      <c r="I30" s="6">
        <v>203.13</v>
      </c>
      <c r="J30" s="1" t="s">
        <v>242</v>
      </c>
    </row>
    <row r="31" spans="1:10" x14ac:dyDescent="0.25">
      <c r="A31" s="1" t="s">
        <v>44</v>
      </c>
      <c r="B31" t="s">
        <v>148</v>
      </c>
      <c r="C31" t="s">
        <v>73</v>
      </c>
      <c r="D31" t="s">
        <v>158</v>
      </c>
      <c r="E31" s="6">
        <v>212.4</v>
      </c>
      <c r="F31" s="1" t="s">
        <v>48</v>
      </c>
      <c r="H31" s="1" t="s">
        <v>243</v>
      </c>
      <c r="I31" s="6">
        <v>209.13</v>
      </c>
      <c r="J31" s="1" t="s">
        <v>244</v>
      </c>
    </row>
    <row r="32" spans="1:10" x14ac:dyDescent="0.25">
      <c r="A32" s="1" t="s">
        <v>99</v>
      </c>
      <c r="B32" t="s">
        <v>149</v>
      </c>
      <c r="C32" t="s">
        <v>73</v>
      </c>
      <c r="D32" t="s">
        <v>158</v>
      </c>
      <c r="E32" s="6">
        <v>136.58000000000001</v>
      </c>
      <c r="F32" s="1" t="s">
        <v>133</v>
      </c>
      <c r="H32" s="1" t="s">
        <v>33</v>
      </c>
      <c r="I32" s="6">
        <v>218.75</v>
      </c>
      <c r="J32" s="1" t="s">
        <v>245</v>
      </c>
    </row>
    <row r="33" spans="1:10" x14ac:dyDescent="0.25">
      <c r="A33" s="1" t="s">
        <v>45</v>
      </c>
      <c r="B33" t="s">
        <v>150</v>
      </c>
      <c r="C33" t="s">
        <v>73</v>
      </c>
      <c r="D33" t="s">
        <v>158</v>
      </c>
      <c r="E33" s="6">
        <v>151.75</v>
      </c>
      <c r="F33" s="1" t="s">
        <v>134</v>
      </c>
      <c r="H33" s="1" t="s">
        <v>246</v>
      </c>
      <c r="I33" s="6">
        <v>224.75</v>
      </c>
      <c r="J33" s="1" t="s">
        <v>247</v>
      </c>
    </row>
    <row r="34" spans="1:10" x14ac:dyDescent="0.25">
      <c r="A34" s="1" t="s">
        <v>100</v>
      </c>
      <c r="B34" t="s">
        <v>151</v>
      </c>
      <c r="C34" t="s">
        <v>73</v>
      </c>
      <c r="D34" t="s">
        <v>158</v>
      </c>
      <c r="E34" s="6">
        <v>166.93</v>
      </c>
      <c r="F34" s="1" t="s">
        <v>135</v>
      </c>
      <c r="H34" s="1" t="s">
        <v>88</v>
      </c>
      <c r="I34" s="6">
        <v>234.38</v>
      </c>
      <c r="J34" s="1" t="s">
        <v>248</v>
      </c>
    </row>
    <row r="35" spans="1:10" x14ac:dyDescent="0.25">
      <c r="A35" s="1" t="s">
        <v>46</v>
      </c>
      <c r="B35" t="s">
        <v>152</v>
      </c>
      <c r="C35" t="s">
        <v>73</v>
      </c>
      <c r="D35" t="s">
        <v>158</v>
      </c>
      <c r="E35" s="6">
        <v>182.1</v>
      </c>
      <c r="F35" s="1" t="s">
        <v>136</v>
      </c>
      <c r="H35" s="1" t="s">
        <v>249</v>
      </c>
      <c r="I35" s="6">
        <v>240.38</v>
      </c>
      <c r="J35" s="1" t="s">
        <v>250</v>
      </c>
    </row>
    <row r="36" spans="1:10" x14ac:dyDescent="0.25">
      <c r="A36" s="1" t="s">
        <v>101</v>
      </c>
      <c r="B36" t="s">
        <v>153</v>
      </c>
      <c r="C36" t="s">
        <v>73</v>
      </c>
      <c r="D36" t="s">
        <v>158</v>
      </c>
      <c r="E36" s="6">
        <v>197.28</v>
      </c>
      <c r="F36" s="1" t="s">
        <v>137</v>
      </c>
      <c r="H36" s="1" t="s">
        <v>34</v>
      </c>
      <c r="I36" s="6">
        <v>250</v>
      </c>
      <c r="J36" s="1" t="s">
        <v>251</v>
      </c>
    </row>
    <row r="37" spans="1:10" x14ac:dyDescent="0.25">
      <c r="A37" s="1" t="s">
        <v>102</v>
      </c>
      <c r="B37" t="s">
        <v>154</v>
      </c>
      <c r="C37" t="s">
        <v>73</v>
      </c>
      <c r="D37" t="s">
        <v>158</v>
      </c>
      <c r="E37" s="6">
        <v>212.45</v>
      </c>
      <c r="F37" s="1" t="s">
        <v>138</v>
      </c>
      <c r="H37" s="1" t="s">
        <v>252</v>
      </c>
      <c r="I37" s="6">
        <v>256</v>
      </c>
      <c r="J37" s="1" t="s">
        <v>253</v>
      </c>
    </row>
    <row r="38" spans="1:10" x14ac:dyDescent="0.25">
      <c r="A38" s="1" t="s">
        <v>103</v>
      </c>
      <c r="B38" t="s">
        <v>155</v>
      </c>
      <c r="C38" t="s">
        <v>73</v>
      </c>
      <c r="D38" t="s">
        <v>158</v>
      </c>
      <c r="E38" s="6">
        <v>227.63</v>
      </c>
      <c r="F38" s="1" t="s">
        <v>139</v>
      </c>
      <c r="H38" s="1" t="s">
        <v>89</v>
      </c>
      <c r="I38" s="6">
        <v>265.63</v>
      </c>
      <c r="J38" s="1" t="s">
        <v>255</v>
      </c>
    </row>
    <row r="39" spans="1:10" x14ac:dyDescent="0.25">
      <c r="A39" s="1" t="s">
        <v>104</v>
      </c>
      <c r="B39" t="s">
        <v>156</v>
      </c>
      <c r="C39" t="s">
        <v>73</v>
      </c>
      <c r="D39" t="s">
        <v>158</v>
      </c>
      <c r="E39" s="6">
        <v>242.8</v>
      </c>
      <c r="F39" s="1" t="s">
        <v>140</v>
      </c>
      <c r="H39" s="1" t="s">
        <v>254</v>
      </c>
      <c r="I39" s="6">
        <v>271.63</v>
      </c>
      <c r="J39" s="1" t="s">
        <v>256</v>
      </c>
    </row>
    <row r="40" spans="1:10" x14ac:dyDescent="0.25">
      <c r="A40" s="1" t="s">
        <v>105</v>
      </c>
      <c r="B40" t="s">
        <v>157</v>
      </c>
      <c r="C40" t="s">
        <v>73</v>
      </c>
      <c r="D40" t="s">
        <v>158</v>
      </c>
      <c r="E40" s="6">
        <v>257.98</v>
      </c>
      <c r="F40" s="1" t="s">
        <v>141</v>
      </c>
      <c r="H40" s="1" t="s">
        <v>41</v>
      </c>
      <c r="I40" s="6">
        <v>30.35</v>
      </c>
      <c r="J40" s="1" t="s">
        <v>58</v>
      </c>
    </row>
    <row r="41" spans="1:10" x14ac:dyDescent="0.25">
      <c r="A41" s="1" t="s">
        <v>106</v>
      </c>
      <c r="B41" t="s">
        <v>175</v>
      </c>
      <c r="C41" t="s">
        <v>176</v>
      </c>
      <c r="D41" t="s">
        <v>177</v>
      </c>
      <c r="E41" s="5">
        <v>5.35</v>
      </c>
      <c r="F41" s="1" t="s">
        <v>47</v>
      </c>
      <c r="H41" s="1" t="s">
        <v>96</v>
      </c>
      <c r="I41" s="6">
        <v>45.53</v>
      </c>
      <c r="J41" s="1" t="s">
        <v>60</v>
      </c>
    </row>
    <row r="42" spans="1:10" x14ac:dyDescent="0.25">
      <c r="A42" s="1" t="s">
        <v>35</v>
      </c>
      <c r="B42" t="s">
        <v>159</v>
      </c>
      <c r="C42" t="s">
        <v>176</v>
      </c>
      <c r="D42" t="s">
        <v>177</v>
      </c>
      <c r="E42" s="6">
        <v>25</v>
      </c>
      <c r="F42" s="1" t="s">
        <v>193</v>
      </c>
      <c r="H42" s="1" t="s">
        <v>42</v>
      </c>
      <c r="I42" s="6">
        <v>60.7</v>
      </c>
      <c r="J42" s="1" t="s">
        <v>274</v>
      </c>
    </row>
    <row r="43" spans="1:10" x14ac:dyDescent="0.25">
      <c r="A43" s="1" t="s">
        <v>107</v>
      </c>
      <c r="B43" t="s">
        <v>160</v>
      </c>
      <c r="C43" t="s">
        <v>176</v>
      </c>
      <c r="D43" t="s">
        <v>177</v>
      </c>
      <c r="E43" s="6">
        <v>37.5</v>
      </c>
      <c r="F43" s="1" t="s">
        <v>178</v>
      </c>
      <c r="H43" s="1" t="s">
        <v>272</v>
      </c>
      <c r="I43" s="6">
        <v>39.06</v>
      </c>
      <c r="J43" s="1" t="s">
        <v>273</v>
      </c>
    </row>
    <row r="44" spans="1:10" x14ac:dyDescent="0.25">
      <c r="A44" s="1" t="s">
        <v>36</v>
      </c>
      <c r="B44" t="s">
        <v>161</v>
      </c>
      <c r="C44" t="s">
        <v>176</v>
      </c>
      <c r="D44" t="s">
        <v>177</v>
      </c>
      <c r="E44" s="6">
        <v>50</v>
      </c>
      <c r="F44" s="1" t="s">
        <v>179</v>
      </c>
      <c r="H44" s="1" t="s">
        <v>97</v>
      </c>
      <c r="I44" s="6">
        <v>75.88</v>
      </c>
      <c r="J44" s="1" t="s">
        <v>64</v>
      </c>
    </row>
    <row r="45" spans="1:10" x14ac:dyDescent="0.25">
      <c r="A45" s="1" t="s">
        <v>108</v>
      </c>
      <c r="B45" t="s">
        <v>162</v>
      </c>
      <c r="C45" t="s">
        <v>176</v>
      </c>
      <c r="D45" t="s">
        <v>177</v>
      </c>
      <c r="E45" s="6">
        <v>62.5</v>
      </c>
      <c r="F45" s="1" t="s">
        <v>180</v>
      </c>
      <c r="H45" s="1" t="s">
        <v>271</v>
      </c>
      <c r="I45" s="6">
        <v>54.69</v>
      </c>
      <c r="J45" s="1" t="s">
        <v>270</v>
      </c>
    </row>
    <row r="46" spans="1:10" x14ac:dyDescent="0.25">
      <c r="A46" s="1" t="s">
        <v>37</v>
      </c>
      <c r="B46" t="s">
        <v>163</v>
      </c>
      <c r="C46" t="s">
        <v>176</v>
      </c>
      <c r="D46" t="s">
        <v>177</v>
      </c>
      <c r="E46" s="6">
        <v>75</v>
      </c>
      <c r="F46" s="1" t="s">
        <v>181</v>
      </c>
      <c r="H46" s="1" t="s">
        <v>43</v>
      </c>
      <c r="I46" s="6">
        <v>91.05</v>
      </c>
      <c r="J46" s="1" t="s">
        <v>65</v>
      </c>
    </row>
    <row r="47" spans="1:10" x14ac:dyDescent="0.25">
      <c r="A47" s="1" t="s">
        <v>109</v>
      </c>
      <c r="B47" t="s">
        <v>164</v>
      </c>
      <c r="C47" t="s">
        <v>176</v>
      </c>
      <c r="D47" t="s">
        <v>177</v>
      </c>
      <c r="E47" s="6">
        <v>87.5</v>
      </c>
      <c r="F47" s="1" t="s">
        <v>182</v>
      </c>
      <c r="H47" s="1" t="s">
        <v>98</v>
      </c>
      <c r="I47" s="6">
        <v>106.23</v>
      </c>
      <c r="J47" s="1" t="s">
        <v>67</v>
      </c>
    </row>
    <row r="48" spans="1:10" x14ac:dyDescent="0.25">
      <c r="A48" s="1" t="s">
        <v>38</v>
      </c>
      <c r="B48" t="s">
        <v>165</v>
      </c>
      <c r="C48" t="s">
        <v>176</v>
      </c>
      <c r="D48" t="s">
        <v>177</v>
      </c>
      <c r="E48" s="6">
        <v>100</v>
      </c>
      <c r="F48" s="1" t="s">
        <v>183</v>
      </c>
      <c r="H48" s="1" t="s">
        <v>44</v>
      </c>
      <c r="I48" s="6">
        <v>121.4</v>
      </c>
      <c r="J48" s="1" t="s">
        <v>81</v>
      </c>
    </row>
    <row r="49" spans="1:10" x14ac:dyDescent="0.25">
      <c r="A49" s="1" t="s">
        <v>110</v>
      </c>
      <c r="B49" t="s">
        <v>166</v>
      </c>
      <c r="C49" t="s">
        <v>176</v>
      </c>
      <c r="D49" t="s">
        <v>177</v>
      </c>
      <c r="E49" s="6">
        <v>112.5</v>
      </c>
      <c r="F49" s="1" t="s">
        <v>184</v>
      </c>
      <c r="H49" s="1" t="s">
        <v>99</v>
      </c>
      <c r="I49" s="6">
        <v>136.58000000000001</v>
      </c>
      <c r="J49" s="1" t="s">
        <v>82</v>
      </c>
    </row>
    <row r="50" spans="1:10" x14ac:dyDescent="0.25">
      <c r="A50" s="1" t="s">
        <v>39</v>
      </c>
      <c r="B50" t="s">
        <v>167</v>
      </c>
      <c r="C50" t="s">
        <v>176</v>
      </c>
      <c r="D50" t="s">
        <v>177</v>
      </c>
      <c r="E50" s="6">
        <v>125</v>
      </c>
      <c r="F50" s="1" t="s">
        <v>185</v>
      </c>
      <c r="H50" s="1" t="s">
        <v>45</v>
      </c>
      <c r="I50" s="6">
        <v>151.75</v>
      </c>
      <c r="J50" s="1" t="s">
        <v>84</v>
      </c>
    </row>
    <row r="51" spans="1:10" x14ac:dyDescent="0.25">
      <c r="A51" s="1" t="s">
        <v>111</v>
      </c>
      <c r="B51" t="s">
        <v>168</v>
      </c>
      <c r="C51" t="s">
        <v>176</v>
      </c>
      <c r="D51" t="s">
        <v>177</v>
      </c>
      <c r="E51" s="6">
        <v>137.5</v>
      </c>
      <c r="F51" s="1" t="s">
        <v>186</v>
      </c>
      <c r="H51" s="1" t="s">
        <v>100</v>
      </c>
      <c r="I51" s="6">
        <v>166.93</v>
      </c>
      <c r="J51" s="1" t="s">
        <v>86</v>
      </c>
    </row>
    <row r="52" spans="1:10" x14ac:dyDescent="0.25">
      <c r="A52" s="1" t="s">
        <v>40</v>
      </c>
      <c r="B52" t="s">
        <v>169</v>
      </c>
      <c r="C52" t="s">
        <v>176</v>
      </c>
      <c r="D52" t="s">
        <v>177</v>
      </c>
      <c r="E52" s="6">
        <v>150</v>
      </c>
      <c r="F52" s="1" t="s">
        <v>187</v>
      </c>
      <c r="H52" s="1" t="s">
        <v>46</v>
      </c>
      <c r="I52" s="6">
        <v>182.1</v>
      </c>
      <c r="J52" s="1" t="s">
        <v>90</v>
      </c>
    </row>
    <row r="53" spans="1:10" x14ac:dyDescent="0.25">
      <c r="A53" s="1" t="s">
        <v>112</v>
      </c>
      <c r="B53" t="s">
        <v>170</v>
      </c>
      <c r="C53" t="s">
        <v>176</v>
      </c>
      <c r="D53" t="s">
        <v>177</v>
      </c>
      <c r="E53" s="6">
        <v>162.5</v>
      </c>
      <c r="F53" s="1" t="s">
        <v>188</v>
      </c>
      <c r="H53" s="1" t="s">
        <v>101</v>
      </c>
      <c r="I53" s="6">
        <v>197.28</v>
      </c>
      <c r="J53" s="1" t="s">
        <v>93</v>
      </c>
    </row>
    <row r="54" spans="1:10" x14ac:dyDescent="0.25">
      <c r="A54" s="1" t="s">
        <v>113</v>
      </c>
      <c r="B54" t="s">
        <v>171</v>
      </c>
      <c r="C54" t="s">
        <v>176</v>
      </c>
      <c r="D54" t="s">
        <v>177</v>
      </c>
      <c r="E54" s="6">
        <v>200</v>
      </c>
      <c r="F54" s="1" t="s">
        <v>189</v>
      </c>
      <c r="H54" s="1" t="s">
        <v>102</v>
      </c>
      <c r="I54" s="6">
        <v>212.45</v>
      </c>
      <c r="J54" s="1" t="s">
        <v>91</v>
      </c>
    </row>
    <row r="55" spans="1:10" x14ac:dyDescent="0.25">
      <c r="A55" s="1" t="s">
        <v>114</v>
      </c>
      <c r="B55" t="s">
        <v>172</v>
      </c>
      <c r="C55" t="s">
        <v>176</v>
      </c>
      <c r="D55" t="s">
        <v>177</v>
      </c>
      <c r="E55" s="6">
        <v>187.5</v>
      </c>
      <c r="F55" s="1" t="s">
        <v>190</v>
      </c>
      <c r="H55" s="1" t="s">
        <v>103</v>
      </c>
      <c r="I55" s="6">
        <v>227.63</v>
      </c>
      <c r="J55" s="1" t="s">
        <v>94</v>
      </c>
    </row>
    <row r="56" spans="1:10" x14ac:dyDescent="0.25">
      <c r="A56" s="1" t="s">
        <v>115</v>
      </c>
      <c r="B56" t="s">
        <v>173</v>
      </c>
      <c r="C56" t="s">
        <v>176</v>
      </c>
      <c r="D56" t="s">
        <v>177</v>
      </c>
      <c r="E56" s="6">
        <v>200</v>
      </c>
      <c r="F56" s="1" t="s">
        <v>191</v>
      </c>
      <c r="H56" s="1" t="s">
        <v>104</v>
      </c>
      <c r="I56" s="6">
        <v>242.8</v>
      </c>
      <c r="J56" s="1" t="s">
        <v>92</v>
      </c>
    </row>
    <row r="57" spans="1:10" x14ac:dyDescent="0.25">
      <c r="A57" s="1" t="s">
        <v>116</v>
      </c>
      <c r="B57" t="s">
        <v>174</v>
      </c>
      <c r="C57" t="s">
        <v>176</v>
      </c>
      <c r="D57" t="s">
        <v>177</v>
      </c>
      <c r="E57" s="6">
        <v>212.5</v>
      </c>
      <c r="F57" s="1" t="s">
        <v>192</v>
      </c>
      <c r="H57" s="1" t="s">
        <v>105</v>
      </c>
      <c r="I57" s="6">
        <v>257.98</v>
      </c>
      <c r="J57" s="1" t="s">
        <v>95</v>
      </c>
    </row>
    <row r="58" spans="1:10" x14ac:dyDescent="0.25">
      <c r="A58" s="1"/>
      <c r="E58" s="5"/>
      <c r="F58" s="1"/>
      <c r="H58" s="1" t="s">
        <v>106</v>
      </c>
      <c r="I58" s="6">
        <v>5.35</v>
      </c>
      <c r="J58" s="1" t="s">
        <v>47</v>
      </c>
    </row>
    <row r="59" spans="1:10" x14ac:dyDescent="0.25">
      <c r="H59" s="1" t="s">
        <v>35</v>
      </c>
      <c r="I59" s="6">
        <v>25</v>
      </c>
      <c r="J59" s="1" t="s">
        <v>58</v>
      </c>
    </row>
    <row r="60" spans="1:10" x14ac:dyDescent="0.25">
      <c r="H60" s="1" t="s">
        <v>107</v>
      </c>
      <c r="I60" s="6">
        <v>37.5</v>
      </c>
      <c r="J60" s="1" t="s">
        <v>60</v>
      </c>
    </row>
    <row r="61" spans="1:10" x14ac:dyDescent="0.25">
      <c r="H61" s="1" t="s">
        <v>36</v>
      </c>
      <c r="I61" s="6">
        <v>50</v>
      </c>
      <c r="J61" s="1" t="s">
        <v>62</v>
      </c>
    </row>
    <row r="62" spans="1:10" x14ac:dyDescent="0.25">
      <c r="H62" s="1" t="s">
        <v>108</v>
      </c>
      <c r="I62" s="6">
        <v>62.5</v>
      </c>
      <c r="J62" s="1" t="s">
        <v>64</v>
      </c>
    </row>
    <row r="63" spans="1:10" x14ac:dyDescent="0.25">
      <c r="H63" s="1" t="s">
        <v>37</v>
      </c>
      <c r="I63" s="6">
        <v>75</v>
      </c>
      <c r="J63" s="1" t="s">
        <v>65</v>
      </c>
    </row>
    <row r="64" spans="1:10" x14ac:dyDescent="0.25">
      <c r="H64" s="1" t="s">
        <v>109</v>
      </c>
      <c r="I64" s="6">
        <v>87.5</v>
      </c>
      <c r="J64" s="1" t="s">
        <v>67</v>
      </c>
    </row>
    <row r="65" spans="8:10" x14ac:dyDescent="0.25">
      <c r="H65" s="1" t="s">
        <v>38</v>
      </c>
      <c r="I65" s="6">
        <v>100</v>
      </c>
      <c r="J65" s="1" t="s">
        <v>81</v>
      </c>
    </row>
    <row r="66" spans="8:10" x14ac:dyDescent="0.25">
      <c r="H66" s="1" t="s">
        <v>110</v>
      </c>
      <c r="I66" s="6">
        <v>112.5</v>
      </c>
      <c r="J66" s="1" t="s">
        <v>82</v>
      </c>
    </row>
    <row r="67" spans="8:10" x14ac:dyDescent="0.25">
      <c r="H67" s="1" t="s">
        <v>39</v>
      </c>
      <c r="I67" s="6">
        <v>125</v>
      </c>
      <c r="J67" s="1" t="s">
        <v>84</v>
      </c>
    </row>
    <row r="68" spans="8:10" x14ac:dyDescent="0.25">
      <c r="H68" s="1" t="s">
        <v>111</v>
      </c>
      <c r="I68" s="6">
        <v>137.5</v>
      </c>
      <c r="J68" s="1" t="s">
        <v>86</v>
      </c>
    </row>
    <row r="69" spans="8:10" x14ac:dyDescent="0.25">
      <c r="H69" s="1" t="s">
        <v>40</v>
      </c>
      <c r="I69" s="6">
        <v>150</v>
      </c>
      <c r="J69" s="1" t="s">
        <v>90</v>
      </c>
    </row>
    <row r="70" spans="8:10" x14ac:dyDescent="0.25">
      <c r="H70" s="1" t="s">
        <v>112</v>
      </c>
      <c r="I70" s="6">
        <v>162.5</v>
      </c>
      <c r="J70" s="1" t="s">
        <v>93</v>
      </c>
    </row>
    <row r="71" spans="8:10" x14ac:dyDescent="0.25">
      <c r="H71" s="1" t="s">
        <v>113</v>
      </c>
      <c r="I71" s="6">
        <v>200</v>
      </c>
      <c r="J71" s="1" t="s">
        <v>91</v>
      </c>
    </row>
    <row r="72" spans="8:10" x14ac:dyDescent="0.25">
      <c r="H72" s="1" t="s">
        <v>114</v>
      </c>
      <c r="I72" s="6">
        <v>187.5</v>
      </c>
      <c r="J72" s="1" t="s">
        <v>94</v>
      </c>
    </row>
    <row r="73" spans="8:10" x14ac:dyDescent="0.25">
      <c r="H73" s="1" t="s">
        <v>115</v>
      </c>
      <c r="I73" s="6">
        <v>200</v>
      </c>
      <c r="J73" s="1" t="s">
        <v>92</v>
      </c>
    </row>
    <row r="74" spans="8:10" x14ac:dyDescent="0.25">
      <c r="H74" s="1" t="s">
        <v>116</v>
      </c>
      <c r="I74" s="6">
        <v>212.5</v>
      </c>
      <c r="J74" s="1" t="s">
        <v>95</v>
      </c>
    </row>
    <row r="75" spans="8:10" x14ac:dyDescent="0.25">
      <c r="H75" t="s">
        <v>32</v>
      </c>
      <c r="I75" s="6">
        <f>[1]Informationen!O8</f>
        <v>0</v>
      </c>
      <c r="J75" s="1" t="s">
        <v>49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fbe205bf-b7bf-4190-9e4e-abde1fdd9978}" enabled="0" method="" siteId="{fbe205bf-b7bf-4190-9e4e-abde1fdd99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Rechnung</vt:lpstr>
      <vt:lpstr>Leistungsnachweis</vt:lpstr>
      <vt:lpstr>Eingabe</vt:lpstr>
      <vt:lpstr>Informationen</vt:lpstr>
      <vt:lpstr>Leistungsklassen</vt:lpstr>
      <vt:lpstr>Leistungsklassen!_Hlk139032887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Lyyroo .</dc:creator>
  <cp:lastModifiedBy>Stiefel, Lyn</cp:lastModifiedBy>
  <cp:lastPrinted>2026-05-18T19:10:12Z</cp:lastPrinted>
  <dcterms:created xsi:type="dcterms:W3CDTF">2024-11-01T17:09:12Z</dcterms:created>
  <dcterms:modified xsi:type="dcterms:W3CDTF">2026-05-18T20:13:23Z</dcterms:modified>
</cp:coreProperties>
</file>